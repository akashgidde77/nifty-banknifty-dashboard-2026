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A:\Stock Market Project\"/>
    </mc:Choice>
  </mc:AlternateContent>
  <xr:revisionPtr revIDLastSave="0" documentId="13_ncr:1_{5C3E1EB5-6B1B-4F7B-BE7D-430015447E11}" xr6:coauthVersionLast="47" xr6:coauthVersionMax="47" xr10:uidLastSave="{00000000-0000-0000-0000-000000000000}"/>
  <bookViews>
    <workbookView xWindow="-120" yWindow="-120" windowWidth="20730" windowHeight="11040" xr2:uid="{417ABCDB-64AC-4685-94C9-3AFAE015D01F}"/>
  </bookViews>
  <sheets>
    <sheet name="BankNifty" sheetId="1" r:id="rId1"/>
    <sheet name="Monthly Summary" sheetId="4" r:id="rId2"/>
  </sheet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" i="1"/>
</calcChain>
</file>

<file path=xl/sharedStrings.xml><?xml version="1.0" encoding="utf-8"?>
<sst xmlns="http://schemas.openxmlformats.org/spreadsheetml/2006/main" count="12" uniqueCount="11">
  <si>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</si>
  <si>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</si>
  <si>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</si>
  <si>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</si>
  <si>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</si>
  <si>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</si>
  <si>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</si>
  <si>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>Month</t>
  </si>
  <si>
    <t>Daily Return %</t>
  </si>
  <si>
    <t>Average Daily Return %</t>
  </si>
  <si>
    <t>Highest Daily Return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</si>
</sst>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2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EB72-B989-4378-B944-CB9D05809723}">
  <dimension ref="A1:I249"/>
  <sheetViews>
    <sheetView tabSelected="1" workbookViewId="0">
      <selection activeCell="I249" sqref="I249"/>
    </sheetView>
  </sheetViews>
  <sheetFormatPr defaultRowHeight="15" x14ac:dyDescent="0.25"/>
  <cols>
    <col min="1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45944</v>
      </c>
      <c r="B2">
        <v>55406.7</v>
      </c>
      <c r="C2">
        <v>55644.7</v>
      </c>
      <c r="D2">
        <v>55168.2</v>
      </c>
      <c r="E2">
        <v>55316</v>
      </c>
      <c r="F2">
        <v>318814941</v>
      </c>
      <c r="G2">
        <v>9222.08</v>
      </c>
      <c r="H2" t="str">
        <f>TEXT(A2,"mmm-yyyy")</f>
        <v>Oct-2025</v>
      </c>
      <c r="I2" s="2">
        <f>((E3-E2)/E2)*100</f>
        <v>0.29837659989876875</v>
      </c>
    </row>
    <row r="3" spans="1:9" x14ac:dyDescent="0.25">
      <c r="A3" s="1">
        <v>45945</v>
      </c>
      <c r="B3">
        <v>54907.55</v>
      </c>
      <c r="C3">
        <v>55551.75</v>
      </c>
      <c r="D3">
        <v>54735.95</v>
      </c>
      <c r="E3">
        <v>55481.05</v>
      </c>
      <c r="F3">
        <v>181131653</v>
      </c>
      <c r="G3">
        <v>5869.63</v>
      </c>
      <c r="H3" t="str">
        <f t="shared" ref="H3:H66" si="0">TEXT(A3,"mmm-yyyy")</f>
        <v>Oct-2025</v>
      </c>
      <c r="I3" s="2">
        <f t="shared" ref="I3:I66" si="1">((E4-E3)/E3)*100</f>
        <v>-1.0148510166984994</v>
      </c>
    </row>
    <row r="4" spans="1:9" x14ac:dyDescent="0.25">
      <c r="A4" s="1">
        <v>45946</v>
      </c>
      <c r="B4">
        <v>55350.15</v>
      </c>
      <c r="C4">
        <v>55416.45</v>
      </c>
      <c r="D4">
        <v>54708.800000000003</v>
      </c>
      <c r="E4">
        <v>54918</v>
      </c>
      <c r="F4">
        <v>164295019</v>
      </c>
      <c r="G4">
        <v>6110.42</v>
      </c>
      <c r="H4" t="str">
        <f t="shared" si="0"/>
        <v>Oct-2025</v>
      </c>
      <c r="I4" s="2">
        <f t="shared" si="1"/>
        <v>0.61664663680396492</v>
      </c>
    </row>
    <row r="5" spans="1:9" x14ac:dyDescent="0.25">
      <c r="A5" s="1">
        <v>45947</v>
      </c>
      <c r="B5">
        <v>54746.25</v>
      </c>
      <c r="C5">
        <v>55419.3</v>
      </c>
      <c r="D5">
        <v>54617.2</v>
      </c>
      <c r="E5">
        <v>55256.65</v>
      </c>
      <c r="F5">
        <v>165502201</v>
      </c>
      <c r="G5">
        <v>5696.93</v>
      </c>
      <c r="H5" t="str">
        <f t="shared" si="0"/>
        <v>Oct-2025</v>
      </c>
      <c r="I5" s="2">
        <f t="shared" si="1"/>
        <v>-1.3421009055018691</v>
      </c>
    </row>
    <row r="6" spans="1:9" x14ac:dyDescent="0.25">
      <c r="A6" s="1">
        <v>45950</v>
      </c>
      <c r="B6">
        <v>55042.9</v>
      </c>
      <c r="C6">
        <v>55043</v>
      </c>
      <c r="D6">
        <v>54383.15</v>
      </c>
      <c r="E6">
        <v>54515.05</v>
      </c>
      <c r="F6">
        <v>224929115</v>
      </c>
      <c r="G6">
        <v>7693.92</v>
      </c>
      <c r="H6" t="str">
        <f t="shared" si="0"/>
        <v>Oct-2025</v>
      </c>
      <c r="I6" s="2">
        <f t="shared" si="1"/>
        <v>0.99146932819469102</v>
      </c>
    </row>
    <row r="7" spans="1:9" x14ac:dyDescent="0.25">
      <c r="A7" s="1">
        <v>45951</v>
      </c>
      <c r="B7">
        <v>54968.7</v>
      </c>
      <c r="C7">
        <v>55340.7</v>
      </c>
      <c r="D7">
        <v>54636.2</v>
      </c>
      <c r="E7">
        <v>55055.55</v>
      </c>
      <c r="F7">
        <v>267707804</v>
      </c>
      <c r="G7">
        <v>9956.5300000000007</v>
      </c>
      <c r="H7" t="str">
        <f t="shared" si="0"/>
        <v>Oct-2025</v>
      </c>
      <c r="I7" s="2">
        <f t="shared" si="1"/>
        <v>0.13232090134418517</v>
      </c>
    </row>
    <row r="8" spans="1:9" x14ac:dyDescent="0.25">
      <c r="A8" s="1">
        <v>45953</v>
      </c>
      <c r="B8">
        <v>54901.3</v>
      </c>
      <c r="C8">
        <v>55201</v>
      </c>
      <c r="D8">
        <v>54834.75</v>
      </c>
      <c r="E8">
        <v>55128.4</v>
      </c>
      <c r="F8">
        <v>214784447</v>
      </c>
      <c r="G8">
        <v>8292.26</v>
      </c>
      <c r="H8" t="str">
        <f t="shared" si="0"/>
        <v>Oct-2025</v>
      </c>
      <c r="I8" s="2">
        <f t="shared" si="1"/>
        <v>-0.75151827370285162</v>
      </c>
    </row>
    <row r="9" spans="1:9" x14ac:dyDescent="0.25">
      <c r="A9" s="1">
        <v>45954</v>
      </c>
      <c r="B9">
        <v>54840.65</v>
      </c>
      <c r="C9">
        <v>55192.65</v>
      </c>
      <c r="D9">
        <v>54370.6</v>
      </c>
      <c r="E9">
        <v>54714.1</v>
      </c>
      <c r="F9">
        <v>263113840</v>
      </c>
      <c r="G9">
        <v>10972.53</v>
      </c>
      <c r="H9" t="str">
        <f t="shared" si="0"/>
        <v>Oct-2025</v>
      </c>
      <c r="I9" s="2">
        <f t="shared" si="1"/>
        <v>-0.4813201715828252</v>
      </c>
    </row>
    <row r="10" spans="1:9" x14ac:dyDescent="0.25">
      <c r="A10" s="1">
        <v>45957</v>
      </c>
      <c r="B10">
        <v>54583.05</v>
      </c>
      <c r="C10">
        <v>55091.45</v>
      </c>
      <c r="D10">
        <v>54066.6</v>
      </c>
      <c r="E10">
        <v>54450.75</v>
      </c>
      <c r="F10">
        <v>304389100</v>
      </c>
      <c r="G10">
        <v>11013.67</v>
      </c>
      <c r="H10" t="str">
        <f t="shared" si="0"/>
        <v>Oct-2025</v>
      </c>
      <c r="I10" s="2">
        <f t="shared" si="1"/>
        <v>0.33479795962406927</v>
      </c>
    </row>
    <row r="11" spans="1:9" x14ac:dyDescent="0.25">
      <c r="A11" s="1">
        <v>45958</v>
      </c>
      <c r="B11">
        <v>54175.9</v>
      </c>
      <c r="C11">
        <v>55135.5</v>
      </c>
      <c r="D11">
        <v>54174.3</v>
      </c>
      <c r="E11">
        <v>54633.05</v>
      </c>
      <c r="F11">
        <v>282551174</v>
      </c>
      <c r="G11">
        <v>9348.1299999999992</v>
      </c>
      <c r="H11" t="str">
        <f t="shared" si="0"/>
        <v>Oct-2025</v>
      </c>
      <c r="I11" s="2">
        <f t="shared" si="1"/>
        <v>-0.68291995413034012</v>
      </c>
    </row>
    <row r="12" spans="1:9" x14ac:dyDescent="0.25">
      <c r="A12" s="1">
        <v>45959</v>
      </c>
      <c r="B12">
        <v>54283.6</v>
      </c>
      <c r="C12">
        <v>54405.3</v>
      </c>
      <c r="D12">
        <v>53785.7</v>
      </c>
      <c r="E12">
        <v>54259.95</v>
      </c>
      <c r="F12">
        <v>385557457</v>
      </c>
      <c r="G12">
        <v>12120.21</v>
      </c>
      <c r="H12" t="str">
        <f t="shared" si="0"/>
        <v>Oct-2025</v>
      </c>
      <c r="I12" s="2">
        <f t="shared" si="1"/>
        <v>0.39015885565689679</v>
      </c>
    </row>
    <row r="13" spans="1:9" x14ac:dyDescent="0.25">
      <c r="A13" s="1">
        <v>45960</v>
      </c>
      <c r="B13">
        <v>55347.8</v>
      </c>
      <c r="C13">
        <v>55390.1</v>
      </c>
      <c r="D13">
        <v>54437.7</v>
      </c>
      <c r="E13">
        <v>54471.65</v>
      </c>
      <c r="F13">
        <v>258202471</v>
      </c>
      <c r="G13">
        <v>6173.88</v>
      </c>
      <c r="H13" t="str">
        <f t="shared" si="0"/>
        <v>Oct-2025</v>
      </c>
      <c r="I13" s="2">
        <f t="shared" si="1"/>
        <v>2.035462483695647</v>
      </c>
    </row>
    <row r="14" spans="1:9" x14ac:dyDescent="0.25">
      <c r="A14" s="1">
        <v>45961</v>
      </c>
      <c r="B14">
        <v>55373.75</v>
      </c>
      <c r="C14">
        <v>55762.6</v>
      </c>
      <c r="D14">
        <v>55373.75</v>
      </c>
      <c r="E14">
        <v>55580.4</v>
      </c>
      <c r="F14">
        <v>145853991</v>
      </c>
      <c r="G14">
        <v>6034.84</v>
      </c>
      <c r="H14" t="str">
        <f t="shared" si="0"/>
        <v>Oct-2025</v>
      </c>
      <c r="I14" s="2">
        <f t="shared" si="1"/>
        <v>-0.25530582723406353</v>
      </c>
    </row>
    <row r="15" spans="1:9" x14ac:dyDescent="0.25">
      <c r="A15" s="1">
        <v>45964</v>
      </c>
      <c r="B15">
        <v>55710.6</v>
      </c>
      <c r="C15">
        <v>55918.400000000001</v>
      </c>
      <c r="D15">
        <v>55341.2</v>
      </c>
      <c r="E15">
        <v>55438.5</v>
      </c>
      <c r="F15">
        <v>261911225</v>
      </c>
      <c r="G15">
        <v>8547.2000000000007</v>
      </c>
      <c r="H15" t="str">
        <f t="shared" si="0"/>
        <v>Nov-2025</v>
      </c>
      <c r="I15" s="2">
        <f t="shared" si="1"/>
        <v>2.0029401949908485</v>
      </c>
    </row>
    <row r="16" spans="1:9" x14ac:dyDescent="0.25">
      <c r="A16" s="1">
        <v>45965</v>
      </c>
      <c r="B16">
        <v>56209.65</v>
      </c>
      <c r="C16">
        <v>56623.8</v>
      </c>
      <c r="D16">
        <v>56209.65</v>
      </c>
      <c r="E16">
        <v>56548.9</v>
      </c>
      <c r="F16">
        <v>203153371</v>
      </c>
      <c r="G16">
        <v>5288.29</v>
      </c>
      <c r="H16" t="str">
        <f t="shared" si="0"/>
        <v>Nov-2025</v>
      </c>
      <c r="I16" s="2">
        <f t="shared" si="1"/>
        <v>-0.58948980439937571</v>
      </c>
    </row>
    <row r="17" spans="1:9" x14ac:dyDescent="0.25">
      <c r="A17" s="1">
        <v>45967</v>
      </c>
      <c r="B17">
        <v>56489.9</v>
      </c>
      <c r="C17">
        <v>56671.1</v>
      </c>
      <c r="D17">
        <v>56106.95</v>
      </c>
      <c r="E17">
        <v>56215.55</v>
      </c>
      <c r="F17">
        <v>130688080</v>
      </c>
      <c r="G17">
        <v>5451.58</v>
      </c>
      <c r="H17" t="str">
        <f t="shared" si="0"/>
        <v>Nov-2025</v>
      </c>
      <c r="I17" s="2">
        <f t="shared" si="1"/>
        <v>0.45378903168251228</v>
      </c>
    </row>
    <row r="18" spans="1:9" x14ac:dyDescent="0.25">
      <c r="A18" s="1">
        <v>45968</v>
      </c>
      <c r="B18">
        <v>56361.9</v>
      </c>
      <c r="C18">
        <v>56668.2</v>
      </c>
      <c r="D18">
        <v>56269.55</v>
      </c>
      <c r="E18">
        <v>56470.65</v>
      </c>
      <c r="F18">
        <v>157658999</v>
      </c>
      <c r="G18">
        <v>5463.66</v>
      </c>
      <c r="H18" t="str">
        <f t="shared" si="0"/>
        <v>Nov-2025</v>
      </c>
      <c r="I18" s="2">
        <f t="shared" si="1"/>
        <v>-0.19824457483667066</v>
      </c>
    </row>
    <row r="19" spans="1:9" x14ac:dyDescent="0.25">
      <c r="A19" s="1">
        <v>45971</v>
      </c>
      <c r="B19">
        <v>56172.85</v>
      </c>
      <c r="C19">
        <v>56497.45</v>
      </c>
      <c r="D19">
        <v>56073.55</v>
      </c>
      <c r="E19">
        <v>56358.7</v>
      </c>
      <c r="F19">
        <v>237801140</v>
      </c>
      <c r="G19">
        <v>8027.68</v>
      </c>
      <c r="H19" t="str">
        <f t="shared" si="0"/>
        <v>Nov-2025</v>
      </c>
      <c r="I19" s="2">
        <f t="shared" si="1"/>
        <v>-0.53753901349746724</v>
      </c>
    </row>
    <row r="20" spans="1:9" x14ac:dyDescent="0.25">
      <c r="A20" s="1">
        <v>45972</v>
      </c>
      <c r="B20">
        <v>56126.6</v>
      </c>
      <c r="C20">
        <v>56570.45</v>
      </c>
      <c r="D20">
        <v>56038.5</v>
      </c>
      <c r="E20">
        <v>56055.75</v>
      </c>
      <c r="F20">
        <v>187803552</v>
      </c>
      <c r="G20">
        <v>5962.72</v>
      </c>
      <c r="H20" t="str">
        <f t="shared" si="0"/>
        <v>Nov-2025</v>
      </c>
      <c r="I20" s="2">
        <f t="shared" si="1"/>
        <v>0.42225819831149719</v>
      </c>
    </row>
    <row r="21" spans="1:9" x14ac:dyDescent="0.25">
      <c r="A21" s="1">
        <v>45973</v>
      </c>
      <c r="B21">
        <v>56007.65</v>
      </c>
      <c r="C21">
        <v>56368.7</v>
      </c>
      <c r="D21">
        <v>55812.2</v>
      </c>
      <c r="E21">
        <v>56292.45</v>
      </c>
      <c r="F21">
        <v>335512005</v>
      </c>
      <c r="G21">
        <v>6965.71</v>
      </c>
      <c r="H21" t="str">
        <f t="shared" si="0"/>
        <v>Nov-2025</v>
      </c>
      <c r="I21" s="2">
        <f t="shared" si="1"/>
        <v>-0.88413277446619776</v>
      </c>
    </row>
    <row r="22" spans="1:9" x14ac:dyDescent="0.25">
      <c r="A22" s="1">
        <v>45974</v>
      </c>
      <c r="B22">
        <v>56884.25</v>
      </c>
      <c r="C22">
        <v>56996.35</v>
      </c>
      <c r="D22">
        <v>55794.75</v>
      </c>
      <c r="E22">
        <v>55794.75</v>
      </c>
      <c r="F22">
        <v>253162379</v>
      </c>
      <c r="G22">
        <v>8615.9699999999993</v>
      </c>
      <c r="H22" t="str">
        <f t="shared" si="0"/>
        <v>Nov-2025</v>
      </c>
      <c r="I22" s="2">
        <f t="shared" si="1"/>
        <v>1.4549756025432552</v>
      </c>
    </row>
    <row r="23" spans="1:9" x14ac:dyDescent="0.25">
      <c r="A23" s="1">
        <v>45975</v>
      </c>
      <c r="B23">
        <v>55970.15</v>
      </c>
      <c r="C23">
        <v>56645.85</v>
      </c>
      <c r="D23">
        <v>55699.45</v>
      </c>
      <c r="E23">
        <v>56606.55</v>
      </c>
      <c r="F23">
        <v>358541513</v>
      </c>
      <c r="G23">
        <v>6828.65</v>
      </c>
      <c r="H23" t="str">
        <f t="shared" si="0"/>
        <v>Nov-2025</v>
      </c>
      <c r="I23" s="2">
        <f t="shared" si="1"/>
        <v>-0.23778167014242313</v>
      </c>
    </row>
    <row r="24" spans="1:9" x14ac:dyDescent="0.25">
      <c r="A24" s="1">
        <v>45978</v>
      </c>
      <c r="B24">
        <v>56262.75</v>
      </c>
      <c r="C24">
        <v>56575.15</v>
      </c>
      <c r="D24">
        <v>56231.85</v>
      </c>
      <c r="E24">
        <v>56471.95</v>
      </c>
      <c r="F24">
        <v>182868550</v>
      </c>
      <c r="G24">
        <v>6217.66</v>
      </c>
      <c r="H24" t="str">
        <f t="shared" si="0"/>
        <v>Nov-2025</v>
      </c>
      <c r="I24" s="2">
        <f t="shared" si="1"/>
        <v>-0.31236746738866672</v>
      </c>
    </row>
    <row r="25" spans="1:9" x14ac:dyDescent="0.25">
      <c r="A25" s="1">
        <v>45979</v>
      </c>
      <c r="B25">
        <v>56498.85</v>
      </c>
      <c r="C25">
        <v>56743.05</v>
      </c>
      <c r="D25">
        <v>56295.55</v>
      </c>
      <c r="E25">
        <v>56295.55</v>
      </c>
      <c r="F25">
        <v>186029299</v>
      </c>
      <c r="G25">
        <v>8060.06</v>
      </c>
      <c r="H25" t="str">
        <f t="shared" si="0"/>
        <v>Nov-2025</v>
      </c>
      <c r="I25" s="2">
        <f t="shared" si="1"/>
        <v>0.8561955607503613</v>
      </c>
    </row>
    <row r="26" spans="1:9" x14ac:dyDescent="0.25">
      <c r="A26" s="1">
        <v>45980</v>
      </c>
      <c r="B26">
        <v>56990.400000000001</v>
      </c>
      <c r="C26">
        <v>57044</v>
      </c>
      <c r="D26">
        <v>56720.45</v>
      </c>
      <c r="E26">
        <v>56777.55</v>
      </c>
      <c r="F26">
        <v>145767706</v>
      </c>
      <c r="G26">
        <v>5890.92</v>
      </c>
      <c r="H26" t="str">
        <f t="shared" si="0"/>
        <v>Nov-2025</v>
      </c>
      <c r="I26" s="2">
        <f t="shared" si="1"/>
        <v>0.54731139332359358</v>
      </c>
    </row>
    <row r="27" spans="1:9" x14ac:dyDescent="0.25">
      <c r="A27" s="1">
        <v>45981</v>
      </c>
      <c r="B27">
        <v>57343.3</v>
      </c>
      <c r="C27">
        <v>57426.85</v>
      </c>
      <c r="D27">
        <v>57002.95</v>
      </c>
      <c r="E27">
        <v>57088.3</v>
      </c>
      <c r="F27">
        <v>130217147</v>
      </c>
      <c r="G27">
        <v>4759.92</v>
      </c>
      <c r="H27" t="str">
        <f t="shared" si="0"/>
        <v>Nov-2025</v>
      </c>
      <c r="I27" s="2">
        <f t="shared" si="1"/>
        <v>0.49283303233762182</v>
      </c>
    </row>
    <row r="28" spans="1:9" x14ac:dyDescent="0.25">
      <c r="A28" s="1">
        <v>45982</v>
      </c>
      <c r="B28">
        <v>57492.65</v>
      </c>
      <c r="C28">
        <v>57677.15</v>
      </c>
      <c r="D28">
        <v>57324.55</v>
      </c>
      <c r="E28">
        <v>57369.65</v>
      </c>
      <c r="F28">
        <v>133221867</v>
      </c>
      <c r="G28">
        <v>4726.32</v>
      </c>
      <c r="H28" t="str">
        <f t="shared" si="0"/>
        <v>Nov-2025</v>
      </c>
      <c r="I28" s="2">
        <f t="shared" si="1"/>
        <v>1.9086747086651371E-2</v>
      </c>
    </row>
    <row r="29" spans="1:9" x14ac:dyDescent="0.25">
      <c r="A29" s="1">
        <v>45985</v>
      </c>
      <c r="B29">
        <v>57497.85</v>
      </c>
      <c r="C29">
        <v>57753.599999999999</v>
      </c>
      <c r="D29">
        <v>57380.6</v>
      </c>
      <c r="E29">
        <v>57380.6</v>
      </c>
      <c r="F29">
        <v>213305260</v>
      </c>
      <c r="G29">
        <v>6625.7</v>
      </c>
      <c r="H29" t="str">
        <f t="shared" si="0"/>
        <v>Nov-2025</v>
      </c>
      <c r="I29" s="2">
        <f t="shared" si="1"/>
        <v>-0.36353750222200282</v>
      </c>
    </row>
    <row r="30" spans="1:9" x14ac:dyDescent="0.25">
      <c r="A30" s="1">
        <v>45986</v>
      </c>
      <c r="B30">
        <v>57006.45</v>
      </c>
      <c r="C30">
        <v>57221.1</v>
      </c>
      <c r="D30">
        <v>56823.199999999997</v>
      </c>
      <c r="E30">
        <v>57172</v>
      </c>
      <c r="F30">
        <v>198861189</v>
      </c>
      <c r="G30">
        <v>8074.15</v>
      </c>
      <c r="H30" t="str">
        <f t="shared" si="0"/>
        <v>Nov-2025</v>
      </c>
      <c r="I30" s="2">
        <f t="shared" si="1"/>
        <v>0.41558805009444932</v>
      </c>
    </row>
    <row r="31" spans="1:9" x14ac:dyDescent="0.25">
      <c r="A31" s="1">
        <v>45987</v>
      </c>
      <c r="B31">
        <v>57560.3</v>
      </c>
      <c r="C31">
        <v>57766.25</v>
      </c>
      <c r="D31">
        <v>57150.7</v>
      </c>
      <c r="E31">
        <v>57409.599999999999</v>
      </c>
      <c r="F31">
        <v>198506270</v>
      </c>
      <c r="G31">
        <v>7827.36</v>
      </c>
      <c r="H31" t="str">
        <f t="shared" si="0"/>
        <v>Nov-2025</v>
      </c>
      <c r="I31" s="2">
        <f t="shared" si="1"/>
        <v>1.0718590618990527</v>
      </c>
    </row>
    <row r="32" spans="1:9" x14ac:dyDescent="0.25">
      <c r="A32" s="1">
        <v>45988</v>
      </c>
      <c r="B32">
        <v>57353.75</v>
      </c>
      <c r="C32">
        <v>58024.95</v>
      </c>
      <c r="D32">
        <v>57187.35</v>
      </c>
      <c r="E32">
        <v>58024.95</v>
      </c>
      <c r="F32">
        <v>309190401</v>
      </c>
      <c r="G32">
        <v>11716.21</v>
      </c>
      <c r="H32" t="str">
        <f t="shared" si="0"/>
        <v>Nov-2025</v>
      </c>
      <c r="I32" s="2">
        <f t="shared" si="1"/>
        <v>-0.91107359851235414</v>
      </c>
    </row>
    <row r="33" spans="1:9" x14ac:dyDescent="0.25">
      <c r="A33" s="1">
        <v>45989</v>
      </c>
      <c r="B33">
        <v>57429.75</v>
      </c>
      <c r="C33">
        <v>57596.4</v>
      </c>
      <c r="D33">
        <v>57264</v>
      </c>
      <c r="E33">
        <v>57496.3</v>
      </c>
      <c r="F33">
        <v>165016474</v>
      </c>
      <c r="G33">
        <v>5145.74</v>
      </c>
      <c r="H33" t="str">
        <f t="shared" si="0"/>
        <v>Nov-2025</v>
      </c>
      <c r="I33" s="2">
        <f t="shared" si="1"/>
        <v>2.3740658094510741E-2</v>
      </c>
    </row>
    <row r="34" spans="1:9" x14ac:dyDescent="0.25">
      <c r="A34" s="1">
        <v>45992</v>
      </c>
      <c r="B34">
        <v>57985</v>
      </c>
      <c r="C34">
        <v>58012.4</v>
      </c>
      <c r="D34">
        <v>57509.95</v>
      </c>
      <c r="E34">
        <v>57509.95</v>
      </c>
      <c r="F34">
        <v>193616409</v>
      </c>
      <c r="G34">
        <v>8832.1</v>
      </c>
      <c r="H34" t="str">
        <f t="shared" si="0"/>
        <v>Dec-2025</v>
      </c>
      <c r="I34" s="2">
        <f t="shared" si="1"/>
        <v>0.4760915285094196</v>
      </c>
    </row>
    <row r="35" spans="1:9" x14ac:dyDescent="0.25">
      <c r="A35" s="1">
        <v>45993</v>
      </c>
      <c r="B35">
        <v>57628.65</v>
      </c>
      <c r="C35">
        <v>57996.05</v>
      </c>
      <c r="D35">
        <v>57611.85</v>
      </c>
      <c r="E35">
        <v>57783.75</v>
      </c>
      <c r="F35">
        <v>170633496</v>
      </c>
      <c r="G35">
        <v>5301.51</v>
      </c>
      <c r="H35" t="str">
        <f t="shared" si="0"/>
        <v>Dec-2025</v>
      </c>
      <c r="I35" s="2">
        <f t="shared" si="1"/>
        <v>-0.4664806282043012</v>
      </c>
    </row>
    <row r="36" spans="1:9" x14ac:dyDescent="0.25">
      <c r="A36" s="1">
        <v>45994</v>
      </c>
      <c r="B36">
        <v>57360.65</v>
      </c>
      <c r="C36">
        <v>57653.85</v>
      </c>
      <c r="D36">
        <v>57231.25</v>
      </c>
      <c r="E36">
        <v>57514.2</v>
      </c>
      <c r="F36">
        <v>198853334</v>
      </c>
      <c r="G36">
        <v>6711.19</v>
      </c>
      <c r="H36" t="str">
        <f t="shared" si="0"/>
        <v>Dec-2025</v>
      </c>
      <c r="I36" s="2">
        <f t="shared" si="1"/>
        <v>2.0429737351819202E-2</v>
      </c>
    </row>
    <row r="37" spans="1:9" x14ac:dyDescent="0.25">
      <c r="A37" s="1">
        <v>45995</v>
      </c>
      <c r="B37">
        <v>57828.15</v>
      </c>
      <c r="C37">
        <v>57873.75</v>
      </c>
      <c r="D37">
        <v>57245.95</v>
      </c>
      <c r="E37">
        <v>57525.95</v>
      </c>
      <c r="F37">
        <v>148624208</v>
      </c>
      <c r="G37">
        <v>4953.76</v>
      </c>
      <c r="H37" t="str">
        <f t="shared" si="0"/>
        <v>Dec-2025</v>
      </c>
      <c r="I37" s="2">
        <f t="shared" si="1"/>
        <v>0.41024963516465179</v>
      </c>
    </row>
    <row r="38" spans="1:9" x14ac:dyDescent="0.25">
      <c r="A38" s="1">
        <v>45996</v>
      </c>
      <c r="B38">
        <v>57613.2</v>
      </c>
      <c r="C38">
        <v>57772.45</v>
      </c>
      <c r="D38">
        <v>57481.55</v>
      </c>
      <c r="E38">
        <v>57761.95</v>
      </c>
      <c r="F38">
        <v>147509808</v>
      </c>
      <c r="G38">
        <v>5593.11</v>
      </c>
      <c r="H38" t="str">
        <f t="shared" si="0"/>
        <v>Dec-2025</v>
      </c>
      <c r="I38" s="2">
        <f t="shared" si="1"/>
        <v>-0.46059733094190147</v>
      </c>
    </row>
    <row r="39" spans="1:9" x14ac:dyDescent="0.25">
      <c r="A39" s="1">
        <v>45999</v>
      </c>
      <c r="B39">
        <v>57507.65</v>
      </c>
      <c r="C39">
        <v>57702.95</v>
      </c>
      <c r="D39">
        <v>57431.8</v>
      </c>
      <c r="E39">
        <v>57495.9</v>
      </c>
      <c r="F39">
        <v>135314818</v>
      </c>
      <c r="G39">
        <v>5347.76</v>
      </c>
      <c r="H39" t="str">
        <f t="shared" si="0"/>
        <v>Dec-2025</v>
      </c>
      <c r="I39" s="2">
        <f t="shared" si="1"/>
        <v>-0.44551002767154085</v>
      </c>
    </row>
    <row r="40" spans="1:9" x14ac:dyDescent="0.25">
      <c r="A40" s="1">
        <v>46000</v>
      </c>
      <c r="B40">
        <v>57260.65</v>
      </c>
      <c r="C40">
        <v>57356.85</v>
      </c>
      <c r="D40">
        <v>57001.75</v>
      </c>
      <c r="E40">
        <v>57239.75</v>
      </c>
      <c r="F40">
        <v>139396903</v>
      </c>
      <c r="G40">
        <v>5266.08</v>
      </c>
      <c r="H40" t="str">
        <f t="shared" si="0"/>
        <v>Dec-2025</v>
      </c>
      <c r="I40" s="2">
        <f t="shared" si="1"/>
        <v>3.9570403434678617E-2</v>
      </c>
    </row>
    <row r="41" spans="1:9" x14ac:dyDescent="0.25">
      <c r="A41" s="1">
        <v>46001</v>
      </c>
      <c r="B41">
        <v>57325.55</v>
      </c>
      <c r="C41">
        <v>57584.7</v>
      </c>
      <c r="D41">
        <v>57217.599999999999</v>
      </c>
      <c r="E41">
        <v>57262.400000000001</v>
      </c>
      <c r="F41">
        <v>129690080</v>
      </c>
      <c r="G41">
        <v>4694.9399999999996</v>
      </c>
      <c r="H41" t="str">
        <f t="shared" si="0"/>
        <v>Dec-2025</v>
      </c>
      <c r="I41" s="2">
        <f t="shared" si="1"/>
        <v>0.41108999972058702</v>
      </c>
    </row>
    <row r="42" spans="1:9" x14ac:dyDescent="0.25">
      <c r="A42" s="1">
        <v>46002</v>
      </c>
      <c r="B42">
        <v>57418.3</v>
      </c>
      <c r="C42">
        <v>57757.25</v>
      </c>
      <c r="D42">
        <v>57119.6</v>
      </c>
      <c r="E42">
        <v>57497.8</v>
      </c>
      <c r="F42">
        <v>155571183</v>
      </c>
      <c r="G42">
        <v>4841.9799999999996</v>
      </c>
      <c r="H42" t="str">
        <f t="shared" si="0"/>
        <v>Dec-2025</v>
      </c>
      <c r="I42" s="2">
        <f t="shared" si="1"/>
        <v>-1.165261975241551E-2</v>
      </c>
    </row>
    <row r="43" spans="1:9" x14ac:dyDescent="0.25">
      <c r="A43" s="1">
        <v>46003</v>
      </c>
      <c r="B43">
        <v>57589.75</v>
      </c>
      <c r="C43">
        <v>57681.45</v>
      </c>
      <c r="D43">
        <v>57380.45</v>
      </c>
      <c r="E43">
        <v>57491.1</v>
      </c>
      <c r="F43">
        <v>144905798</v>
      </c>
      <c r="G43">
        <v>5292.37</v>
      </c>
      <c r="H43" t="str">
        <f t="shared" si="0"/>
        <v>Dec-2025</v>
      </c>
      <c r="I43" s="2">
        <f t="shared" si="1"/>
        <v>0.2507344615079577</v>
      </c>
    </row>
    <row r="44" spans="1:9" x14ac:dyDescent="0.25">
      <c r="A44" s="1">
        <v>46006</v>
      </c>
      <c r="B44">
        <v>57799.15</v>
      </c>
      <c r="C44">
        <v>57799.15</v>
      </c>
      <c r="D44">
        <v>57548.6</v>
      </c>
      <c r="E44">
        <v>57635.25</v>
      </c>
      <c r="F44">
        <v>144733503</v>
      </c>
      <c r="G44">
        <v>6176.86</v>
      </c>
      <c r="H44" t="str">
        <f t="shared" si="0"/>
        <v>Dec-2025</v>
      </c>
      <c r="I44" s="2">
        <f t="shared" si="1"/>
        <v>0.43480335385028873</v>
      </c>
    </row>
    <row r="45" spans="1:9" x14ac:dyDescent="0.25">
      <c r="A45" s="1">
        <v>46007</v>
      </c>
      <c r="B45">
        <v>57391.8</v>
      </c>
      <c r="C45">
        <v>57885.85</v>
      </c>
      <c r="D45">
        <v>57254</v>
      </c>
      <c r="E45">
        <v>57885.85</v>
      </c>
      <c r="F45">
        <v>269649866</v>
      </c>
      <c r="G45">
        <v>8587.18</v>
      </c>
      <c r="H45" t="str">
        <f t="shared" si="0"/>
        <v>Dec-2025</v>
      </c>
      <c r="I45" s="2">
        <f t="shared" si="1"/>
        <v>-0.75942566274832035</v>
      </c>
    </row>
    <row r="46" spans="1:9" x14ac:dyDescent="0.25">
      <c r="A46" s="1">
        <v>46008</v>
      </c>
      <c r="B46">
        <v>57604.35</v>
      </c>
      <c r="C46">
        <v>57607.25</v>
      </c>
      <c r="D46">
        <v>57158.1</v>
      </c>
      <c r="E46">
        <v>57446.25</v>
      </c>
      <c r="F46">
        <v>162323567</v>
      </c>
      <c r="G46">
        <v>7195.74</v>
      </c>
      <c r="H46" t="str">
        <f t="shared" si="0"/>
        <v>Dec-2025</v>
      </c>
      <c r="I46" s="2">
        <f t="shared" si="1"/>
        <v>0.4190003699109987</v>
      </c>
    </row>
    <row r="47" spans="1:9" x14ac:dyDescent="0.25">
      <c r="A47" s="1">
        <v>46009</v>
      </c>
      <c r="B47">
        <v>57812.3</v>
      </c>
      <c r="C47">
        <v>58015.85</v>
      </c>
      <c r="D47">
        <v>57527.75</v>
      </c>
      <c r="E47">
        <v>57686.95</v>
      </c>
      <c r="F47">
        <v>172005195</v>
      </c>
      <c r="G47">
        <v>7495.11</v>
      </c>
      <c r="H47" t="str">
        <f t="shared" si="0"/>
        <v>Dec-2025</v>
      </c>
      <c r="I47" s="2">
        <f t="shared" si="1"/>
        <v>0.10314291187174918</v>
      </c>
    </row>
    <row r="48" spans="1:9" x14ac:dyDescent="0.25">
      <c r="A48" s="1">
        <v>46010</v>
      </c>
      <c r="B48">
        <v>57882</v>
      </c>
      <c r="C48">
        <v>57994.45</v>
      </c>
      <c r="D48">
        <v>57686.55</v>
      </c>
      <c r="E48">
        <v>57746.45</v>
      </c>
      <c r="F48">
        <v>180042934</v>
      </c>
      <c r="G48">
        <v>9054.2099999999991</v>
      </c>
      <c r="H48" t="str">
        <f t="shared" si="0"/>
        <v>Dec-2025</v>
      </c>
      <c r="I48" s="2">
        <f t="shared" si="1"/>
        <v>0.54929783562453516</v>
      </c>
    </row>
    <row r="49" spans="1:9" x14ac:dyDescent="0.25">
      <c r="A49" s="1">
        <v>46013</v>
      </c>
      <c r="B49">
        <v>57815</v>
      </c>
      <c r="C49">
        <v>58076.85</v>
      </c>
      <c r="D49">
        <v>57714.7</v>
      </c>
      <c r="E49">
        <v>58063.65</v>
      </c>
      <c r="F49">
        <v>211701254</v>
      </c>
      <c r="G49">
        <v>9919.8799999999992</v>
      </c>
      <c r="H49" t="str">
        <f t="shared" si="0"/>
        <v>Dec-2025</v>
      </c>
      <c r="I49" s="2">
        <f t="shared" si="1"/>
        <v>-0.55749164925044215</v>
      </c>
    </row>
    <row r="50" spans="1:9" x14ac:dyDescent="0.25">
      <c r="A50" s="1">
        <v>46014</v>
      </c>
      <c r="B50">
        <v>57810.05</v>
      </c>
      <c r="C50">
        <v>57931.85</v>
      </c>
      <c r="D50">
        <v>57456.35</v>
      </c>
      <c r="E50">
        <v>57739.95</v>
      </c>
      <c r="F50">
        <v>240351099</v>
      </c>
      <c r="G50">
        <v>9559.8799999999992</v>
      </c>
      <c r="H50" t="str">
        <f t="shared" si="0"/>
        <v>Dec-2025</v>
      </c>
      <c r="I50" s="2">
        <f t="shared" si="1"/>
        <v>0.28966079811291839</v>
      </c>
    </row>
    <row r="51" spans="1:9" x14ac:dyDescent="0.25">
      <c r="A51" s="1">
        <v>46015</v>
      </c>
      <c r="B51">
        <v>58068.95</v>
      </c>
      <c r="C51">
        <v>58068.95</v>
      </c>
      <c r="D51">
        <v>57352.65</v>
      </c>
      <c r="E51">
        <v>57907.199999999997</v>
      </c>
      <c r="F51">
        <v>168682264</v>
      </c>
      <c r="G51">
        <v>7105.46</v>
      </c>
      <c r="H51" t="str">
        <f t="shared" si="0"/>
        <v>Dec-2025</v>
      </c>
      <c r="I51" s="2">
        <f t="shared" si="1"/>
        <v>0.58844150641025639</v>
      </c>
    </row>
    <row r="52" spans="1:9" x14ac:dyDescent="0.25">
      <c r="A52" s="1">
        <v>46017</v>
      </c>
      <c r="B52">
        <v>57569.599999999999</v>
      </c>
      <c r="C52">
        <v>58247.95</v>
      </c>
      <c r="D52">
        <v>57465.95</v>
      </c>
      <c r="E52">
        <v>58247.95</v>
      </c>
      <c r="F52">
        <v>152662019</v>
      </c>
      <c r="G52">
        <v>5910.97</v>
      </c>
      <c r="H52" t="str">
        <f t="shared" si="0"/>
        <v>Dec-2025</v>
      </c>
      <c r="I52" s="2">
        <f t="shared" si="1"/>
        <v>-1.6877847203206269</v>
      </c>
    </row>
    <row r="53" spans="1:9" x14ac:dyDescent="0.25">
      <c r="A53" s="1">
        <v>46020</v>
      </c>
      <c r="B53">
        <v>57225.9</v>
      </c>
      <c r="C53">
        <v>57411.25</v>
      </c>
      <c r="D53">
        <v>57139.6</v>
      </c>
      <c r="E53">
        <v>57264.85</v>
      </c>
      <c r="F53">
        <v>158786434</v>
      </c>
      <c r="G53">
        <v>6939.06</v>
      </c>
      <c r="H53" t="str">
        <f t="shared" si="0"/>
        <v>Dec-2025</v>
      </c>
      <c r="I53" s="2">
        <f t="shared" si="1"/>
        <v>-0.20492501071774144</v>
      </c>
    </row>
    <row r="54" spans="1:9" x14ac:dyDescent="0.25">
      <c r="A54" s="1">
        <v>46021</v>
      </c>
      <c r="B54">
        <v>57127.05</v>
      </c>
      <c r="C54">
        <v>57236.65</v>
      </c>
      <c r="D54">
        <v>56768.6</v>
      </c>
      <c r="E54">
        <v>57147.5</v>
      </c>
      <c r="F54">
        <v>202892201</v>
      </c>
      <c r="G54">
        <v>8169.9</v>
      </c>
      <c r="H54" t="str">
        <f t="shared" si="0"/>
        <v>Dec-2025</v>
      </c>
      <c r="I54" s="2">
        <f t="shared" si="1"/>
        <v>0.10219169692462743</v>
      </c>
    </row>
    <row r="55" spans="1:9" x14ac:dyDescent="0.25">
      <c r="A55" s="1">
        <v>46022</v>
      </c>
      <c r="B55">
        <v>57126.6</v>
      </c>
      <c r="C55">
        <v>57315.95</v>
      </c>
      <c r="D55">
        <v>56939.35</v>
      </c>
      <c r="E55">
        <v>57205.9</v>
      </c>
      <c r="F55">
        <v>176189113</v>
      </c>
      <c r="G55">
        <v>6678.71</v>
      </c>
      <c r="H55" t="str">
        <f t="shared" si="0"/>
        <v>Dec-2025</v>
      </c>
      <c r="I55" s="2">
        <f t="shared" si="1"/>
        <v>-0.78715656951468793</v>
      </c>
    </row>
    <row r="56" spans="1:9" x14ac:dyDescent="0.25">
      <c r="A56" s="1">
        <v>46023</v>
      </c>
      <c r="B56">
        <v>56883.55</v>
      </c>
      <c r="C56">
        <v>57054.2</v>
      </c>
      <c r="D56">
        <v>56672.4</v>
      </c>
      <c r="E56">
        <v>56755.6</v>
      </c>
      <c r="F56">
        <v>282555108</v>
      </c>
      <c r="G56">
        <v>9697.2199999999993</v>
      </c>
      <c r="H56" t="str">
        <f t="shared" si="0"/>
        <v>Jan-2026</v>
      </c>
      <c r="I56" s="2">
        <f t="shared" si="1"/>
        <v>0.58425952681321058</v>
      </c>
    </row>
    <row r="57" spans="1:9" x14ac:dyDescent="0.25">
      <c r="A57" s="1">
        <v>46024</v>
      </c>
      <c r="B57">
        <v>57116.800000000003</v>
      </c>
      <c r="C57">
        <v>57330.05</v>
      </c>
      <c r="D57">
        <v>56928.65</v>
      </c>
      <c r="E57">
        <v>57087.199999999997</v>
      </c>
      <c r="F57">
        <v>398387155</v>
      </c>
      <c r="G57">
        <v>9692.6299999999992</v>
      </c>
      <c r="H57" t="str">
        <f t="shared" si="0"/>
        <v>Jan-2026</v>
      </c>
      <c r="I57" s="2">
        <f t="shared" si="1"/>
        <v>-0.68964671590128279</v>
      </c>
    </row>
    <row r="58" spans="1:9" x14ac:dyDescent="0.25">
      <c r="A58" s="1">
        <v>46027</v>
      </c>
      <c r="B58">
        <v>56169.4</v>
      </c>
      <c r="C58">
        <v>56831.45</v>
      </c>
      <c r="D58">
        <v>56023.6</v>
      </c>
      <c r="E58">
        <v>56693.5</v>
      </c>
      <c r="F58">
        <v>218024643</v>
      </c>
      <c r="G58">
        <v>8000.63</v>
      </c>
      <c r="H58" t="str">
        <f t="shared" si="0"/>
        <v>Jan-2026</v>
      </c>
      <c r="I58" s="2">
        <f t="shared" si="1"/>
        <v>-0.17903286972933405</v>
      </c>
    </row>
    <row r="59" spans="1:9" x14ac:dyDescent="0.25">
      <c r="A59" s="1">
        <v>46028</v>
      </c>
      <c r="B59">
        <v>56796.95</v>
      </c>
      <c r="C59">
        <v>56930.15</v>
      </c>
      <c r="D59">
        <v>56374.75</v>
      </c>
      <c r="E59">
        <v>56592</v>
      </c>
      <c r="F59">
        <v>194915859</v>
      </c>
      <c r="G59">
        <v>8507.11</v>
      </c>
      <c r="H59" t="str">
        <f t="shared" si="0"/>
        <v>Jan-2026</v>
      </c>
      <c r="I59" s="2">
        <f t="shared" si="1"/>
        <v>0.94500989539157998</v>
      </c>
    </row>
    <row r="60" spans="1:9" x14ac:dyDescent="0.25">
      <c r="A60" s="1">
        <v>46029</v>
      </c>
      <c r="B60">
        <v>57768.4</v>
      </c>
      <c r="C60">
        <v>57824</v>
      </c>
      <c r="D60">
        <v>56970.6</v>
      </c>
      <c r="E60">
        <v>57126.8</v>
      </c>
      <c r="F60">
        <v>308515444</v>
      </c>
      <c r="G60">
        <v>7728.65</v>
      </c>
      <c r="H60" t="str">
        <f t="shared" si="0"/>
        <v>Jan-2026</v>
      </c>
      <c r="I60" s="2">
        <f t="shared" si="1"/>
        <v>1.2403110273986913</v>
      </c>
    </row>
    <row r="61" spans="1:9" x14ac:dyDescent="0.25">
      <c r="A61" s="1">
        <v>46030</v>
      </c>
      <c r="B61">
        <v>57853.75</v>
      </c>
      <c r="C61">
        <v>58228.65</v>
      </c>
      <c r="D61">
        <v>57803.85</v>
      </c>
      <c r="E61">
        <v>57835.35</v>
      </c>
      <c r="F61">
        <v>312604570</v>
      </c>
      <c r="G61">
        <v>12366.59</v>
      </c>
      <c r="H61" t="str">
        <f t="shared" si="0"/>
        <v>Jan-2026</v>
      </c>
      <c r="I61" s="2">
        <f t="shared" si="1"/>
        <v>0.18958993072576108</v>
      </c>
    </row>
    <row r="62" spans="1:9" x14ac:dyDescent="0.25">
      <c r="A62" s="1">
        <v>46031</v>
      </c>
      <c r="B62">
        <v>57738.25</v>
      </c>
      <c r="C62">
        <v>58111</v>
      </c>
      <c r="D62">
        <v>57533.1</v>
      </c>
      <c r="E62">
        <v>57945</v>
      </c>
      <c r="F62">
        <v>540528621</v>
      </c>
      <c r="G62">
        <v>18065.28</v>
      </c>
      <c r="H62" t="str">
        <f t="shared" si="0"/>
        <v>Jan-2026</v>
      </c>
      <c r="I62" s="2">
        <f t="shared" si="1"/>
        <v>0.99473638795409691</v>
      </c>
    </row>
    <row r="63" spans="1:9" x14ac:dyDescent="0.25">
      <c r="A63" s="1">
        <v>46034</v>
      </c>
      <c r="B63">
        <v>57662</v>
      </c>
      <c r="C63">
        <v>58596.85</v>
      </c>
      <c r="D63">
        <v>57542.15</v>
      </c>
      <c r="E63">
        <v>58521.4</v>
      </c>
      <c r="F63">
        <v>251882325</v>
      </c>
      <c r="G63">
        <v>8903.7199999999993</v>
      </c>
      <c r="H63" t="str">
        <f t="shared" si="0"/>
        <v>Jan-2026</v>
      </c>
      <c r="I63" s="2">
        <f t="shared" si="1"/>
        <v>-1.6047975612340126</v>
      </c>
    </row>
    <row r="64" spans="1:9" x14ac:dyDescent="0.25">
      <c r="A64" s="1">
        <v>46035</v>
      </c>
      <c r="B64">
        <v>57831.1</v>
      </c>
      <c r="C64">
        <v>57931.3</v>
      </c>
      <c r="D64">
        <v>57420.15</v>
      </c>
      <c r="E64">
        <v>57582.25</v>
      </c>
      <c r="F64">
        <v>171394681</v>
      </c>
      <c r="G64">
        <v>6123.09</v>
      </c>
      <c r="H64" t="str">
        <f t="shared" si="0"/>
        <v>Jan-2026</v>
      </c>
      <c r="I64" s="2">
        <f t="shared" si="1"/>
        <v>0.30495508598569621</v>
      </c>
    </row>
    <row r="65" spans="1:9" x14ac:dyDescent="0.25">
      <c r="A65" s="1">
        <v>46036</v>
      </c>
      <c r="B65">
        <v>57643.75</v>
      </c>
      <c r="C65">
        <v>58148.800000000003</v>
      </c>
      <c r="D65">
        <v>57545.2</v>
      </c>
      <c r="E65">
        <v>57757.85</v>
      </c>
      <c r="F65">
        <v>230970224</v>
      </c>
      <c r="G65">
        <v>8790.4599999999991</v>
      </c>
      <c r="H65" t="str">
        <f t="shared" si="0"/>
        <v>Jan-2026</v>
      </c>
      <c r="I65" s="2">
        <f t="shared" si="1"/>
        <v>-0.51170533529207829</v>
      </c>
    </row>
    <row r="66" spans="1:9" x14ac:dyDescent="0.25">
      <c r="A66" s="1">
        <v>46038</v>
      </c>
      <c r="B66">
        <v>57832.55</v>
      </c>
      <c r="C66">
        <v>57840.05</v>
      </c>
      <c r="D66">
        <v>57286.9</v>
      </c>
      <c r="E66">
        <v>57462.3</v>
      </c>
      <c r="F66">
        <v>206834900</v>
      </c>
      <c r="G66">
        <v>8016.84</v>
      </c>
      <c r="H66" t="str">
        <f t="shared" si="0"/>
        <v>Jan-2026</v>
      </c>
      <c r="I66" s="2">
        <f t="shared" si="1"/>
        <v>1.16450263912164</v>
      </c>
    </row>
    <row r="67" spans="1:9" x14ac:dyDescent="0.25">
      <c r="A67" s="1">
        <v>46041</v>
      </c>
      <c r="B67">
        <v>57616.7</v>
      </c>
      <c r="C67">
        <v>58219.9</v>
      </c>
      <c r="D67">
        <v>57492.05</v>
      </c>
      <c r="E67">
        <v>58131.45</v>
      </c>
      <c r="F67">
        <v>210287279</v>
      </c>
      <c r="G67">
        <v>6997.35</v>
      </c>
      <c r="H67" t="str">
        <f t="shared" ref="H67:H130" si="2">TEXT(A67,"mmm-yyyy")</f>
        <v>Jan-2026</v>
      </c>
      <c r="I67" s="2">
        <f t="shared" ref="I67:I130" si="3">((E68-E67)/E67)*100</f>
        <v>-0.14716646496861105</v>
      </c>
    </row>
    <row r="68" spans="1:9" x14ac:dyDescent="0.25">
      <c r="A68" s="1">
        <v>46042</v>
      </c>
      <c r="B68">
        <v>57592.5</v>
      </c>
      <c r="C68">
        <v>58251.95</v>
      </c>
      <c r="D68">
        <v>57576.7</v>
      </c>
      <c r="E68">
        <v>58045.9</v>
      </c>
      <c r="F68">
        <v>235609950</v>
      </c>
      <c r="G68">
        <v>7144.41</v>
      </c>
      <c r="H68" t="str">
        <f t="shared" si="2"/>
        <v>Jan-2026</v>
      </c>
      <c r="I68" s="2">
        <f t="shared" si="3"/>
        <v>-1.3669354769243036</v>
      </c>
    </row>
    <row r="69" spans="1:9" x14ac:dyDescent="0.25">
      <c r="A69" s="1">
        <v>46043</v>
      </c>
      <c r="B69">
        <v>56871</v>
      </c>
      <c r="C69">
        <v>57464.2</v>
      </c>
      <c r="D69">
        <v>56867.3</v>
      </c>
      <c r="E69">
        <v>57252.45</v>
      </c>
      <c r="F69">
        <v>231570751</v>
      </c>
      <c r="G69">
        <v>9445.81</v>
      </c>
      <c r="H69" t="str">
        <f t="shared" si="2"/>
        <v>Jan-2026</v>
      </c>
      <c r="I69" s="2">
        <f t="shared" si="3"/>
        <v>-0.8905295755902124</v>
      </c>
    </row>
    <row r="70" spans="1:9" x14ac:dyDescent="0.25">
      <c r="A70" s="1">
        <v>46044</v>
      </c>
      <c r="B70">
        <v>57918.25</v>
      </c>
      <c r="C70">
        <v>58075.6</v>
      </c>
      <c r="D70">
        <v>56549.4</v>
      </c>
      <c r="E70">
        <v>56742.6</v>
      </c>
      <c r="F70">
        <v>304865203</v>
      </c>
      <c r="G70">
        <v>10349.469999999999</v>
      </c>
      <c r="H70" t="str">
        <f t="shared" si="2"/>
        <v>Jan-2026</v>
      </c>
      <c r="I70" s="2">
        <f t="shared" si="3"/>
        <v>2.5696742835189057</v>
      </c>
    </row>
    <row r="71" spans="1:9" x14ac:dyDescent="0.25">
      <c r="A71" s="1">
        <v>46045</v>
      </c>
      <c r="B71">
        <v>58567.85</v>
      </c>
      <c r="C71">
        <v>58581.1</v>
      </c>
      <c r="D71">
        <v>58110.1</v>
      </c>
      <c r="E71">
        <v>58200.7</v>
      </c>
      <c r="F71">
        <v>261922414</v>
      </c>
      <c r="G71">
        <v>11929</v>
      </c>
      <c r="H71" t="str">
        <f t="shared" si="2"/>
        <v>Jan-2026</v>
      </c>
      <c r="I71" s="2">
        <f t="shared" si="3"/>
        <v>0.15601186927305499</v>
      </c>
    </row>
    <row r="72" spans="1:9" x14ac:dyDescent="0.25">
      <c r="A72" s="1">
        <v>46049</v>
      </c>
      <c r="B72">
        <v>57983.9</v>
      </c>
      <c r="C72">
        <v>58477.3</v>
      </c>
      <c r="D72">
        <v>57938.65</v>
      </c>
      <c r="E72">
        <v>58291.5</v>
      </c>
      <c r="F72">
        <v>284447133</v>
      </c>
      <c r="G72">
        <v>12163.94</v>
      </c>
      <c r="H72" t="str">
        <f t="shared" si="2"/>
        <v>Jan-2026</v>
      </c>
      <c r="I72" s="2">
        <f t="shared" si="3"/>
        <v>-0.60557714246502492</v>
      </c>
    </row>
    <row r="73" spans="1:9" x14ac:dyDescent="0.25">
      <c r="A73" s="1">
        <v>46050</v>
      </c>
      <c r="B73">
        <v>58343.25</v>
      </c>
      <c r="C73">
        <v>58343.25</v>
      </c>
      <c r="D73">
        <v>57799.05</v>
      </c>
      <c r="E73">
        <v>57938.5</v>
      </c>
      <c r="F73">
        <v>326266951</v>
      </c>
      <c r="G73">
        <v>9480.81</v>
      </c>
      <c r="H73" t="str">
        <f t="shared" si="2"/>
        <v>Jan-2026</v>
      </c>
      <c r="I73" s="2">
        <f t="shared" si="3"/>
        <v>0.1607739240746679</v>
      </c>
    </row>
    <row r="74" spans="1:9" x14ac:dyDescent="0.25">
      <c r="A74" s="1">
        <v>46051</v>
      </c>
      <c r="B74">
        <v>58134.5</v>
      </c>
      <c r="C74">
        <v>58396.1</v>
      </c>
      <c r="D74">
        <v>57884.6</v>
      </c>
      <c r="E74">
        <v>58031.65</v>
      </c>
      <c r="F74">
        <v>273279890</v>
      </c>
      <c r="G74">
        <v>10046.33</v>
      </c>
      <c r="H74" t="str">
        <f t="shared" si="2"/>
        <v>Jan-2026</v>
      </c>
      <c r="I74" s="2">
        <f t="shared" si="3"/>
        <v>2.4124766399050437E-3</v>
      </c>
    </row>
    <row r="75" spans="1:9" x14ac:dyDescent="0.25">
      <c r="A75" s="1">
        <v>46052</v>
      </c>
      <c r="B75">
        <v>57573.35</v>
      </c>
      <c r="C75">
        <v>58134.15</v>
      </c>
      <c r="D75">
        <v>57487.85</v>
      </c>
      <c r="E75">
        <v>58033.05</v>
      </c>
      <c r="F75">
        <v>260449994</v>
      </c>
      <c r="G75">
        <v>7701.11</v>
      </c>
      <c r="H75" t="str">
        <f t="shared" si="2"/>
        <v>Jan-2026</v>
      </c>
      <c r="I75" s="2">
        <f t="shared" si="3"/>
        <v>-0.84460492770929918</v>
      </c>
    </row>
    <row r="76" spans="1:9" x14ac:dyDescent="0.25">
      <c r="A76" s="1">
        <v>46054</v>
      </c>
      <c r="B76">
        <v>58011.95</v>
      </c>
      <c r="C76">
        <v>58011.95</v>
      </c>
      <c r="D76">
        <v>57456.65</v>
      </c>
      <c r="E76">
        <v>57542.9</v>
      </c>
      <c r="F76">
        <v>398655816</v>
      </c>
      <c r="G76">
        <v>12174.39</v>
      </c>
      <c r="H76" t="str">
        <f t="shared" si="2"/>
        <v>Feb-2026</v>
      </c>
      <c r="I76" s="2">
        <f t="shared" si="3"/>
        <v>0.32054345540457135</v>
      </c>
    </row>
    <row r="77" spans="1:9" x14ac:dyDescent="0.25">
      <c r="A77" s="1">
        <v>46055</v>
      </c>
      <c r="B77">
        <v>58191.45</v>
      </c>
      <c r="C77">
        <v>58318.05</v>
      </c>
      <c r="D77">
        <v>57637.25</v>
      </c>
      <c r="E77">
        <v>57727.35</v>
      </c>
      <c r="F77">
        <v>529807813</v>
      </c>
      <c r="G77">
        <v>15216.72</v>
      </c>
      <c r="H77" t="str">
        <f t="shared" si="2"/>
        <v>Feb-2026</v>
      </c>
      <c r="I77" s="2">
        <f t="shared" si="3"/>
        <v>0.77900683125070591</v>
      </c>
    </row>
    <row r="78" spans="1:9" x14ac:dyDescent="0.25">
      <c r="A78" s="1">
        <v>46056</v>
      </c>
      <c r="B78">
        <v>58493.85</v>
      </c>
      <c r="C78">
        <v>58706.05</v>
      </c>
      <c r="D78">
        <v>58109.85</v>
      </c>
      <c r="E78">
        <v>58177.05</v>
      </c>
      <c r="F78">
        <v>296548901</v>
      </c>
      <c r="G78">
        <v>11723.43</v>
      </c>
      <c r="H78" t="str">
        <f t="shared" si="2"/>
        <v>Feb-2026</v>
      </c>
      <c r="I78" s="2">
        <f t="shared" si="3"/>
        <v>-4.5894386188375595E-2</v>
      </c>
    </row>
    <row r="79" spans="1:9" x14ac:dyDescent="0.25">
      <c r="A79" s="1">
        <v>46057</v>
      </c>
      <c r="B79">
        <v>57074.9</v>
      </c>
      <c r="C79">
        <v>58256.35</v>
      </c>
      <c r="D79">
        <v>57074.9</v>
      </c>
      <c r="E79">
        <v>58150.35</v>
      </c>
      <c r="F79">
        <v>283234744</v>
      </c>
      <c r="G79">
        <v>10087.129999999999</v>
      </c>
      <c r="H79" t="str">
        <f t="shared" si="2"/>
        <v>Feb-2026</v>
      </c>
      <c r="I79" s="2">
        <f t="shared" si="3"/>
        <v>-1.6622427895962768</v>
      </c>
    </row>
    <row r="80" spans="1:9" x14ac:dyDescent="0.25">
      <c r="A80" s="1">
        <v>46058</v>
      </c>
      <c r="B80">
        <v>57886.75</v>
      </c>
      <c r="C80">
        <v>57970.9</v>
      </c>
      <c r="D80">
        <v>57078.45</v>
      </c>
      <c r="E80">
        <v>57183.75</v>
      </c>
      <c r="F80">
        <v>267194713</v>
      </c>
      <c r="G80">
        <v>8078.02</v>
      </c>
      <c r="H80" t="str">
        <f t="shared" si="2"/>
        <v>Feb-2026</v>
      </c>
      <c r="I80" s="2">
        <f t="shared" si="3"/>
        <v>1.3147965986840642</v>
      </c>
    </row>
    <row r="81" spans="1:9" x14ac:dyDescent="0.25">
      <c r="A81" s="1">
        <v>46059</v>
      </c>
      <c r="B81">
        <v>57906.9</v>
      </c>
      <c r="C81">
        <v>58009.1</v>
      </c>
      <c r="D81">
        <v>57720.1</v>
      </c>
      <c r="E81">
        <v>57935.6</v>
      </c>
      <c r="F81">
        <v>293508621</v>
      </c>
      <c r="G81">
        <v>6179.56</v>
      </c>
      <c r="H81" t="str">
        <f t="shared" si="2"/>
        <v>Feb-2026</v>
      </c>
      <c r="I81" s="2">
        <f t="shared" si="3"/>
        <v>-0.43125470349836459</v>
      </c>
    </row>
    <row r="82" spans="1:9" x14ac:dyDescent="0.25">
      <c r="A82" s="1">
        <v>46062</v>
      </c>
      <c r="B82">
        <v>57754.95</v>
      </c>
      <c r="C82">
        <v>57804.9</v>
      </c>
      <c r="D82">
        <v>57464.55</v>
      </c>
      <c r="E82">
        <v>57685.75</v>
      </c>
      <c r="F82">
        <v>285767830</v>
      </c>
      <c r="G82">
        <v>8320.26</v>
      </c>
      <c r="H82" t="str">
        <f t="shared" si="2"/>
        <v>Feb-2026</v>
      </c>
      <c r="I82" s="2">
        <f t="shared" si="3"/>
        <v>0.48200812158982581</v>
      </c>
    </row>
    <row r="83" spans="1:9" x14ac:dyDescent="0.25">
      <c r="A83" s="1">
        <v>46063</v>
      </c>
      <c r="B83">
        <v>57596.45</v>
      </c>
      <c r="C83">
        <v>58021.25</v>
      </c>
      <c r="D83">
        <v>57583.199999999997</v>
      </c>
      <c r="E83">
        <v>57963.8</v>
      </c>
      <c r="F83">
        <v>409619907</v>
      </c>
      <c r="G83">
        <v>9497.94</v>
      </c>
      <c r="H83" t="str">
        <f t="shared" si="2"/>
        <v>Feb-2026</v>
      </c>
      <c r="I83" s="2">
        <f t="shared" si="3"/>
        <v>-0.65342506874980588</v>
      </c>
    </row>
    <row r="84" spans="1:9" x14ac:dyDescent="0.25">
      <c r="A84" s="1">
        <v>46064</v>
      </c>
      <c r="B84">
        <v>57434.05</v>
      </c>
      <c r="C84">
        <v>57646.15</v>
      </c>
      <c r="D84">
        <v>57222.400000000001</v>
      </c>
      <c r="E84">
        <v>57585.05</v>
      </c>
      <c r="F84">
        <v>583416456</v>
      </c>
      <c r="G84">
        <v>8606.7900000000009</v>
      </c>
      <c r="H84" t="str">
        <f t="shared" si="2"/>
        <v>Feb-2026</v>
      </c>
      <c r="I84" s="2">
        <f t="shared" si="3"/>
        <v>-0.49995615181371111</v>
      </c>
    </row>
    <row r="85" spans="1:9" x14ac:dyDescent="0.25">
      <c r="A85" s="1">
        <v>46065</v>
      </c>
      <c r="B85">
        <v>57320.1</v>
      </c>
      <c r="C85">
        <v>57399.7</v>
      </c>
      <c r="D85">
        <v>57076.25</v>
      </c>
      <c r="E85">
        <v>57297.15</v>
      </c>
      <c r="F85">
        <v>375449405</v>
      </c>
      <c r="G85">
        <v>8421.31</v>
      </c>
      <c r="H85" t="str">
        <f t="shared" si="2"/>
        <v>Feb-2026</v>
      </c>
      <c r="I85" s="2">
        <f t="shared" si="3"/>
        <v>-0.17164902617320155</v>
      </c>
    </row>
    <row r="86" spans="1:9" x14ac:dyDescent="0.25">
      <c r="A86" s="1">
        <v>46066</v>
      </c>
      <c r="B86">
        <v>57679.65</v>
      </c>
      <c r="C86">
        <v>57804.5</v>
      </c>
      <c r="D86">
        <v>57119.199999999997</v>
      </c>
      <c r="E86">
        <v>57198.8</v>
      </c>
      <c r="F86">
        <v>350698837</v>
      </c>
      <c r="G86">
        <v>10405.77</v>
      </c>
      <c r="H86" t="str">
        <f t="shared" si="2"/>
        <v>Feb-2026</v>
      </c>
      <c r="I86" s="2">
        <f t="shared" si="3"/>
        <v>-0.67134275544242183</v>
      </c>
    </row>
    <row r="87" spans="1:9" x14ac:dyDescent="0.25">
      <c r="A87" s="1">
        <v>46069</v>
      </c>
      <c r="B87">
        <v>55934.1</v>
      </c>
      <c r="C87">
        <v>56867.1</v>
      </c>
      <c r="D87">
        <v>55726.55</v>
      </c>
      <c r="E87">
        <v>56814.8</v>
      </c>
      <c r="F87">
        <v>337387698</v>
      </c>
      <c r="G87">
        <v>11266.63</v>
      </c>
      <c r="H87" t="str">
        <f t="shared" si="2"/>
        <v>Feb-2026</v>
      </c>
      <c r="I87" s="2">
        <f t="shared" si="3"/>
        <v>-2.883139604469263</v>
      </c>
    </row>
    <row r="88" spans="1:9" x14ac:dyDescent="0.25">
      <c r="A88" s="1">
        <v>46070</v>
      </c>
      <c r="B88">
        <v>54779.65</v>
      </c>
      <c r="C88">
        <v>55600.15</v>
      </c>
      <c r="D88">
        <v>54753.15</v>
      </c>
      <c r="E88">
        <v>55176.75</v>
      </c>
      <c r="F88">
        <v>339375955</v>
      </c>
      <c r="G88">
        <v>12836.78</v>
      </c>
      <c r="H88" t="str">
        <f t="shared" si="2"/>
        <v>Feb-2026</v>
      </c>
      <c r="I88" s="2">
        <f t="shared" si="3"/>
        <v>-0.13855473546375438</v>
      </c>
    </row>
    <row r="89" spans="1:9" x14ac:dyDescent="0.25">
      <c r="A89" s="1">
        <v>46071</v>
      </c>
      <c r="B89">
        <v>55110.5</v>
      </c>
      <c r="C89">
        <v>55555.85</v>
      </c>
      <c r="D89">
        <v>55026.15</v>
      </c>
      <c r="E89">
        <v>55100.3</v>
      </c>
      <c r="F89">
        <v>343154351</v>
      </c>
      <c r="G89">
        <v>13345.76</v>
      </c>
      <c r="H89" t="str">
        <f t="shared" si="2"/>
        <v>Feb-2026</v>
      </c>
      <c r="I89" s="2">
        <f t="shared" si="3"/>
        <v>0.17096095665540312</v>
      </c>
    </row>
    <row r="90" spans="1:9" x14ac:dyDescent="0.25">
      <c r="A90" s="1">
        <v>46072</v>
      </c>
      <c r="B90">
        <v>54265</v>
      </c>
      <c r="C90">
        <v>55318.35</v>
      </c>
      <c r="D90">
        <v>54242.3</v>
      </c>
      <c r="E90">
        <v>55194.5</v>
      </c>
      <c r="F90">
        <v>409677431</v>
      </c>
      <c r="G90">
        <v>12999.48</v>
      </c>
      <c r="H90" t="str">
        <f t="shared" si="2"/>
        <v>Feb-2026</v>
      </c>
      <c r="I90" s="2">
        <f t="shared" si="3"/>
        <v>-2.0486642690847821</v>
      </c>
    </row>
    <row r="91" spans="1:9" x14ac:dyDescent="0.25">
      <c r="A91" s="1">
        <v>46073</v>
      </c>
      <c r="B91">
        <v>53853.45</v>
      </c>
      <c r="C91">
        <v>54455.199999999997</v>
      </c>
      <c r="D91">
        <v>53843.3</v>
      </c>
      <c r="E91">
        <v>54063.75</v>
      </c>
      <c r="F91">
        <v>299385492</v>
      </c>
      <c r="G91">
        <v>7633.01</v>
      </c>
      <c r="H91" t="str">
        <f t="shared" si="2"/>
        <v>Feb-2026</v>
      </c>
      <c r="I91" s="2">
        <f t="shared" si="3"/>
        <v>0.79998150331784235</v>
      </c>
    </row>
    <row r="92" spans="1:9" x14ac:dyDescent="0.25">
      <c r="A92" s="1">
        <v>46076</v>
      </c>
      <c r="B92">
        <v>54405.2</v>
      </c>
      <c r="C92">
        <v>54865.5</v>
      </c>
      <c r="D92">
        <v>54140.6</v>
      </c>
      <c r="E92">
        <v>54496.25</v>
      </c>
      <c r="F92">
        <v>368963233</v>
      </c>
      <c r="G92">
        <v>9300.99</v>
      </c>
      <c r="H92" t="str">
        <f t="shared" si="2"/>
        <v>Feb-2026</v>
      </c>
      <c r="I92" s="2">
        <f t="shared" si="3"/>
        <v>-0.34571186090786327</v>
      </c>
    </row>
    <row r="93" spans="1:9" x14ac:dyDescent="0.25">
      <c r="A93" s="1">
        <v>46077</v>
      </c>
      <c r="B93">
        <v>53918.85</v>
      </c>
      <c r="C93">
        <v>54461</v>
      </c>
      <c r="D93">
        <v>53829.4</v>
      </c>
      <c r="E93">
        <v>54307.85</v>
      </c>
      <c r="F93">
        <v>273684619</v>
      </c>
      <c r="G93">
        <v>10811.33</v>
      </c>
      <c r="H93" t="str">
        <f t="shared" si="2"/>
        <v>Feb-2026</v>
      </c>
      <c r="I93" s="2">
        <f t="shared" si="3"/>
        <v>-0.22446110461010971</v>
      </c>
    </row>
    <row r="94" spans="1:9" x14ac:dyDescent="0.25">
      <c r="A94" s="1">
        <v>46078</v>
      </c>
      <c r="B94">
        <v>53541.1</v>
      </c>
      <c r="C94">
        <v>54299.35</v>
      </c>
      <c r="D94">
        <v>53027.15</v>
      </c>
      <c r="E94">
        <v>54185.95</v>
      </c>
      <c r="F94">
        <v>339085249</v>
      </c>
      <c r="G94">
        <v>11264.39</v>
      </c>
      <c r="H94" t="str">
        <f t="shared" si="2"/>
        <v>Feb-2026</v>
      </c>
      <c r="I94" s="2">
        <f t="shared" si="3"/>
        <v>-0.86978266506353707</v>
      </c>
    </row>
    <row r="95" spans="1:9" x14ac:dyDescent="0.25">
      <c r="A95" s="1">
        <v>46079</v>
      </c>
      <c r="B95">
        <v>53265.1</v>
      </c>
      <c r="C95">
        <v>53933.55</v>
      </c>
      <c r="D95">
        <v>53121.85</v>
      </c>
      <c r="E95">
        <v>53714.65</v>
      </c>
      <c r="F95">
        <v>406403053</v>
      </c>
      <c r="G95">
        <v>11650.52</v>
      </c>
      <c r="H95" t="str">
        <f t="shared" si="2"/>
        <v>Feb-2026</v>
      </c>
      <c r="I95" s="2">
        <f t="shared" si="3"/>
        <v>-0.13320388385664417</v>
      </c>
    </row>
    <row r="96" spans="1:9" x14ac:dyDescent="0.25">
      <c r="A96" s="1">
        <v>46080</v>
      </c>
      <c r="B96">
        <v>54403.85</v>
      </c>
      <c r="C96">
        <v>54582.75</v>
      </c>
      <c r="D96">
        <v>53470</v>
      </c>
      <c r="E96">
        <v>53643.1</v>
      </c>
      <c r="F96">
        <v>322916279</v>
      </c>
      <c r="G96">
        <v>8897.06</v>
      </c>
      <c r="H96" t="str">
        <f t="shared" si="2"/>
        <v>Feb-2026</v>
      </c>
      <c r="I96" s="2">
        <f t="shared" si="3"/>
        <v>1.1112333179849758</v>
      </c>
    </row>
    <row r="97" spans="1:9" x14ac:dyDescent="0.25">
      <c r="A97" s="1">
        <v>46083</v>
      </c>
      <c r="B97">
        <v>54748.3</v>
      </c>
      <c r="C97">
        <v>55184.45</v>
      </c>
      <c r="D97">
        <v>54116.15</v>
      </c>
      <c r="E97">
        <v>54239.199999999997</v>
      </c>
      <c r="F97">
        <v>1042592835</v>
      </c>
      <c r="G97">
        <v>28804.71</v>
      </c>
      <c r="H97" t="str">
        <f t="shared" si="2"/>
        <v>Mar-2026</v>
      </c>
      <c r="I97" s="2">
        <f t="shared" si="3"/>
        <v>1.1332209914600537</v>
      </c>
    </row>
    <row r="98" spans="1:9" x14ac:dyDescent="0.25">
      <c r="A98" s="1">
        <v>46085</v>
      </c>
      <c r="B98">
        <v>54992.95</v>
      </c>
      <c r="C98">
        <v>55221.7</v>
      </c>
      <c r="D98">
        <v>54738.6</v>
      </c>
      <c r="E98">
        <v>54853.85</v>
      </c>
      <c r="F98">
        <v>268052806</v>
      </c>
      <c r="G98">
        <v>10775.54</v>
      </c>
      <c r="H98" t="str">
        <f t="shared" si="2"/>
        <v>Mar-2026</v>
      </c>
      <c r="I98" s="2">
        <f t="shared" si="3"/>
        <v>0.43579438817877492</v>
      </c>
    </row>
    <row r="99" spans="1:9" x14ac:dyDescent="0.25">
      <c r="A99" s="1">
        <v>46086</v>
      </c>
      <c r="B99">
        <v>55311.8</v>
      </c>
      <c r="C99">
        <v>55536.800000000003</v>
      </c>
      <c r="D99">
        <v>54979.75</v>
      </c>
      <c r="E99">
        <v>55092.9</v>
      </c>
      <c r="F99">
        <v>321273666</v>
      </c>
      <c r="G99">
        <v>10203.91</v>
      </c>
      <c r="H99" t="str">
        <f t="shared" si="2"/>
        <v>Mar-2026</v>
      </c>
      <c r="I99" s="2">
        <f t="shared" si="3"/>
        <v>0.36438452141746031</v>
      </c>
    </row>
    <row r="100" spans="1:9" x14ac:dyDescent="0.25">
      <c r="A100" s="1">
        <v>46087</v>
      </c>
      <c r="B100">
        <v>54610.55</v>
      </c>
      <c r="C100">
        <v>55405.2</v>
      </c>
      <c r="D100">
        <v>54590.7</v>
      </c>
      <c r="E100">
        <v>55293.65</v>
      </c>
      <c r="F100">
        <v>262419167</v>
      </c>
      <c r="G100">
        <v>8342.5400000000009</v>
      </c>
      <c r="H100" t="str">
        <f t="shared" si="2"/>
        <v>Mar-2026</v>
      </c>
      <c r="I100" s="2">
        <f t="shared" si="3"/>
        <v>-2.2394976638366302</v>
      </c>
    </row>
    <row r="101" spans="1:9" x14ac:dyDescent="0.25">
      <c r="A101" s="1">
        <v>46090</v>
      </c>
      <c r="B101">
        <v>53483.85</v>
      </c>
      <c r="C101">
        <v>54213.05</v>
      </c>
      <c r="D101">
        <v>53483.55</v>
      </c>
      <c r="E101">
        <v>54055.35</v>
      </c>
      <c r="F101">
        <v>229338156</v>
      </c>
      <c r="G101">
        <v>6961.71</v>
      </c>
      <c r="H101" t="str">
        <f t="shared" si="2"/>
        <v>Mar-2026</v>
      </c>
      <c r="I101" s="2">
        <f t="shared" si="3"/>
        <v>-1.1394801809626562</v>
      </c>
    </row>
    <row r="102" spans="1:9" x14ac:dyDescent="0.25">
      <c r="A102" s="1">
        <v>46091</v>
      </c>
      <c r="B102">
        <v>53963.1</v>
      </c>
      <c r="C102">
        <v>54109.15</v>
      </c>
      <c r="D102">
        <v>53156.15</v>
      </c>
      <c r="E102">
        <v>53439.4</v>
      </c>
      <c r="F102">
        <v>285518874</v>
      </c>
      <c r="G102">
        <v>8275.44</v>
      </c>
      <c r="H102" t="str">
        <f t="shared" si="2"/>
        <v>Mar-2026</v>
      </c>
      <c r="I102" s="2">
        <f t="shared" si="3"/>
        <v>0.22979299917288673</v>
      </c>
    </row>
    <row r="103" spans="1:9" x14ac:dyDescent="0.25">
      <c r="A103" s="1">
        <v>46092</v>
      </c>
      <c r="B103">
        <v>53015.7</v>
      </c>
      <c r="C103">
        <v>53640.9</v>
      </c>
      <c r="D103">
        <v>52836.1</v>
      </c>
      <c r="E103">
        <v>53562.2</v>
      </c>
      <c r="F103">
        <v>221449458</v>
      </c>
      <c r="G103">
        <v>7542.58</v>
      </c>
      <c r="H103" t="str">
        <f t="shared" si="2"/>
        <v>Mar-2026</v>
      </c>
      <c r="I103" s="2">
        <f t="shared" si="3"/>
        <v>-0.28574255725118769</v>
      </c>
    </row>
    <row r="104" spans="1:9" x14ac:dyDescent="0.25">
      <c r="A104" s="1">
        <v>46093</v>
      </c>
      <c r="B104">
        <v>53553.75</v>
      </c>
      <c r="C104">
        <v>53770.65</v>
      </c>
      <c r="D104">
        <v>53337.05</v>
      </c>
      <c r="E104">
        <v>53409.15</v>
      </c>
      <c r="F104">
        <v>267772359</v>
      </c>
      <c r="G104">
        <v>12908.09</v>
      </c>
      <c r="H104" t="str">
        <f t="shared" si="2"/>
        <v>Mar-2026</v>
      </c>
      <c r="I104" s="2">
        <f t="shared" si="3"/>
        <v>0.23937845856000056</v>
      </c>
    </row>
    <row r="105" spans="1:9" x14ac:dyDescent="0.25">
      <c r="A105" s="1">
        <v>46094</v>
      </c>
      <c r="B105">
        <v>53282.15</v>
      </c>
      <c r="C105">
        <v>53667.55</v>
      </c>
      <c r="D105">
        <v>52783.45</v>
      </c>
      <c r="E105">
        <v>53537</v>
      </c>
      <c r="F105">
        <v>311842492</v>
      </c>
      <c r="G105">
        <v>8918.0499999999993</v>
      </c>
      <c r="H105" t="str">
        <f t="shared" si="2"/>
        <v>Mar-2026</v>
      </c>
      <c r="I105" s="2">
        <f t="shared" si="3"/>
        <v>0.32379475876496355</v>
      </c>
    </row>
    <row r="106" spans="1:9" x14ac:dyDescent="0.25">
      <c r="A106" s="1">
        <v>46097</v>
      </c>
      <c r="B106">
        <v>54207.75</v>
      </c>
      <c r="C106">
        <v>54325.45</v>
      </c>
      <c r="D106">
        <v>53628.3</v>
      </c>
      <c r="E106">
        <v>53710.35</v>
      </c>
      <c r="F106">
        <v>315128143</v>
      </c>
      <c r="G106">
        <v>9386.86</v>
      </c>
      <c r="H106" t="str">
        <f t="shared" si="2"/>
        <v>Mar-2026</v>
      </c>
      <c r="I106" s="2">
        <f t="shared" si="3"/>
        <v>0.77936561575189622</v>
      </c>
    </row>
    <row r="107" spans="1:9" x14ac:dyDescent="0.25">
      <c r="A107" s="1">
        <v>46098</v>
      </c>
      <c r="B107">
        <v>53639.5</v>
      </c>
      <c r="C107">
        <v>54393.75</v>
      </c>
      <c r="D107">
        <v>53191.6</v>
      </c>
      <c r="E107">
        <v>54128.95</v>
      </c>
      <c r="F107">
        <v>311812842</v>
      </c>
      <c r="G107">
        <v>10760.56</v>
      </c>
      <c r="H107" t="str">
        <f t="shared" si="2"/>
        <v>Mar-2026</v>
      </c>
      <c r="I107" s="2">
        <f t="shared" si="3"/>
        <v>-1.2429577887618284</v>
      </c>
    </row>
    <row r="108" spans="1:9" x14ac:dyDescent="0.25">
      <c r="A108" s="1">
        <v>46099</v>
      </c>
      <c r="B108">
        <v>53600.4</v>
      </c>
      <c r="C108">
        <v>54103.9</v>
      </c>
      <c r="D108">
        <v>53194.25</v>
      </c>
      <c r="E108">
        <v>53456.15</v>
      </c>
      <c r="F108">
        <v>305888706</v>
      </c>
      <c r="G108">
        <v>9802.4</v>
      </c>
      <c r="H108" t="str">
        <f t="shared" si="2"/>
        <v>Mar-2026</v>
      </c>
      <c r="I108" s="2">
        <f t="shared" si="3"/>
        <v>0.18529205713467137</v>
      </c>
    </row>
    <row r="109" spans="1:9" x14ac:dyDescent="0.25">
      <c r="A109" s="1">
        <v>46100</v>
      </c>
      <c r="B109">
        <v>54178.400000000001</v>
      </c>
      <c r="C109">
        <v>54365.45</v>
      </c>
      <c r="D109">
        <v>53457.5</v>
      </c>
      <c r="E109">
        <v>53555.199999999997</v>
      </c>
      <c r="F109">
        <v>364373903</v>
      </c>
      <c r="G109">
        <v>11609.66</v>
      </c>
      <c r="H109" t="str">
        <f t="shared" si="2"/>
        <v>Mar-2026</v>
      </c>
      <c r="I109" s="2">
        <f t="shared" si="3"/>
        <v>1.6519404278202761</v>
      </c>
    </row>
    <row r="110" spans="1:9" x14ac:dyDescent="0.25">
      <c r="A110" s="1">
        <v>46101</v>
      </c>
      <c r="B110">
        <v>54832.45</v>
      </c>
      <c r="C110">
        <v>55002.45</v>
      </c>
      <c r="D110">
        <v>54360.7</v>
      </c>
      <c r="E110">
        <v>54439.9</v>
      </c>
      <c r="F110">
        <v>486830100</v>
      </c>
      <c r="G110">
        <v>15093.47</v>
      </c>
      <c r="H110" t="str">
        <f t="shared" si="2"/>
        <v>Mar-2026</v>
      </c>
      <c r="I110" s="2">
        <f t="shared" si="3"/>
        <v>1.5992865526938909</v>
      </c>
    </row>
    <row r="111" spans="1:9" x14ac:dyDescent="0.25">
      <c r="A111" s="1">
        <v>46104</v>
      </c>
      <c r="B111">
        <v>55783.95</v>
      </c>
      <c r="C111">
        <v>55797.7</v>
      </c>
      <c r="D111">
        <v>55062.5</v>
      </c>
      <c r="E111">
        <v>55310.55</v>
      </c>
      <c r="F111">
        <v>429519591</v>
      </c>
      <c r="G111">
        <v>13194.96</v>
      </c>
      <c r="H111" t="str">
        <f t="shared" si="2"/>
        <v>Mar-2026</v>
      </c>
      <c r="I111" s="2">
        <f t="shared" si="3"/>
        <v>1.3322051579671483</v>
      </c>
    </row>
    <row r="112" spans="1:9" x14ac:dyDescent="0.25">
      <c r="A112" s="1">
        <v>46105</v>
      </c>
      <c r="B112">
        <v>56114</v>
      </c>
      <c r="C112">
        <v>56334.15</v>
      </c>
      <c r="D112">
        <v>55783.199999999997</v>
      </c>
      <c r="E112">
        <v>56047.4</v>
      </c>
      <c r="F112">
        <v>463458813</v>
      </c>
      <c r="G112">
        <v>12910.17</v>
      </c>
      <c r="H112" t="str">
        <f t="shared" si="2"/>
        <v>Mar-2026</v>
      </c>
      <c r="I112" s="2">
        <f t="shared" si="3"/>
        <v>-0.11838194099993674</v>
      </c>
    </row>
    <row r="113" spans="1:9" x14ac:dyDescent="0.25">
      <c r="A113" s="1">
        <v>46106</v>
      </c>
      <c r="B113">
        <v>55113.4</v>
      </c>
      <c r="C113">
        <v>56078.8</v>
      </c>
      <c r="D113">
        <v>54587.199999999997</v>
      </c>
      <c r="E113">
        <v>55981.05</v>
      </c>
      <c r="F113">
        <v>653257428</v>
      </c>
      <c r="G113">
        <v>12948.63</v>
      </c>
      <c r="H113" t="str">
        <f t="shared" si="2"/>
        <v>Mar-2026</v>
      </c>
      <c r="I113" s="2">
        <f t="shared" si="3"/>
        <v>-2.5615811064637053</v>
      </c>
    </row>
    <row r="114" spans="1:9" x14ac:dyDescent="0.25">
      <c r="A114" s="1">
        <v>46108</v>
      </c>
      <c r="B114">
        <v>54691.3</v>
      </c>
      <c r="C114">
        <v>54888.55</v>
      </c>
      <c r="D114">
        <v>54221.65</v>
      </c>
      <c r="E114">
        <v>54547.05</v>
      </c>
      <c r="F114">
        <v>379764576</v>
      </c>
      <c r="G114">
        <v>11440.82</v>
      </c>
      <c r="H114" t="str">
        <f t="shared" si="2"/>
        <v>Mar-2026</v>
      </c>
      <c r="I114" s="2">
        <f t="shared" si="3"/>
        <v>0.60764055984695253</v>
      </c>
    </row>
    <row r="115" spans="1:9" x14ac:dyDescent="0.25">
      <c r="A115" s="1">
        <v>46111</v>
      </c>
      <c r="B115">
        <v>54937.9</v>
      </c>
      <c r="C115">
        <v>55602.3</v>
      </c>
      <c r="D115">
        <v>54723.5</v>
      </c>
      <c r="E115">
        <v>54878.5</v>
      </c>
      <c r="F115">
        <v>282611679</v>
      </c>
      <c r="G115">
        <v>10905.29</v>
      </c>
      <c r="H115" t="str">
        <f t="shared" si="2"/>
        <v>Mar-2026</v>
      </c>
      <c r="I115" s="2">
        <f t="shared" si="3"/>
        <v>-2.7606439680387503E-2</v>
      </c>
    </row>
    <row r="116" spans="1:9" x14ac:dyDescent="0.25">
      <c r="A116" s="1">
        <v>46113</v>
      </c>
      <c r="B116">
        <v>54880.65</v>
      </c>
      <c r="C116">
        <v>55111.6</v>
      </c>
      <c r="D116">
        <v>54440.25</v>
      </c>
      <c r="E116">
        <v>54863.35</v>
      </c>
      <c r="F116">
        <v>299008947</v>
      </c>
      <c r="G116">
        <v>12752.95</v>
      </c>
      <c r="H116" t="str">
        <f t="shared" si="2"/>
        <v>Apr-2026</v>
      </c>
      <c r="I116" s="2">
        <f t="shared" si="3"/>
        <v>0.98471930715131328</v>
      </c>
    </row>
    <row r="117" spans="1:9" x14ac:dyDescent="0.25">
      <c r="A117" s="1">
        <v>46114</v>
      </c>
      <c r="B117">
        <v>55634.5</v>
      </c>
      <c r="C117">
        <v>56178.75</v>
      </c>
      <c r="D117">
        <v>55290.5</v>
      </c>
      <c r="E117">
        <v>55403.6</v>
      </c>
      <c r="F117">
        <v>313099005</v>
      </c>
      <c r="G117">
        <v>8349.57</v>
      </c>
      <c r="H117" t="str">
        <f t="shared" si="2"/>
        <v>Apr-2026</v>
      </c>
      <c r="I117" s="2">
        <f t="shared" si="3"/>
        <v>-5.8660448057526954E-3</v>
      </c>
    </row>
    <row r="118" spans="1:9" x14ac:dyDescent="0.25">
      <c r="A118" s="1">
        <v>46118</v>
      </c>
      <c r="B118">
        <v>55862.5</v>
      </c>
      <c r="C118">
        <v>56138.05</v>
      </c>
      <c r="D118">
        <v>55263.75</v>
      </c>
      <c r="E118">
        <v>55400.35</v>
      </c>
      <c r="F118">
        <v>292572868</v>
      </c>
      <c r="G118">
        <v>11063.72</v>
      </c>
      <c r="H118" t="str">
        <f t="shared" si="2"/>
        <v>Apr-2026</v>
      </c>
      <c r="I118" s="2">
        <f t="shared" si="3"/>
        <v>1.5594666820697061</v>
      </c>
    </row>
    <row r="119" spans="1:9" x14ac:dyDescent="0.25">
      <c r="A119" s="1">
        <v>46119</v>
      </c>
      <c r="B119">
        <v>56162.6</v>
      </c>
      <c r="C119">
        <v>56474.95</v>
      </c>
      <c r="D119">
        <v>55911.1</v>
      </c>
      <c r="E119">
        <v>56264.3</v>
      </c>
      <c r="F119">
        <v>235494222</v>
      </c>
      <c r="G119">
        <v>9140.6200000000008</v>
      </c>
      <c r="H119" t="str">
        <f t="shared" si="2"/>
        <v>Apr-2026</v>
      </c>
      <c r="I119" s="2">
        <f t="shared" si="3"/>
        <v>-0.31023224318084985</v>
      </c>
    </row>
    <row r="120" spans="1:9" x14ac:dyDescent="0.25">
      <c r="A120" s="1">
        <v>46120</v>
      </c>
      <c r="B120">
        <v>56170.2</v>
      </c>
      <c r="C120">
        <v>56460.5</v>
      </c>
      <c r="D120">
        <v>55750.400000000001</v>
      </c>
      <c r="E120">
        <v>56089.75</v>
      </c>
      <c r="F120">
        <v>241210038</v>
      </c>
      <c r="G120">
        <v>8903.2000000000007</v>
      </c>
      <c r="H120" t="str">
        <f t="shared" si="2"/>
        <v>Apr-2026</v>
      </c>
      <c r="I120" s="2">
        <f t="shared" si="3"/>
        <v>0.38375995614171926</v>
      </c>
    </row>
    <row r="121" spans="1:9" x14ac:dyDescent="0.25">
      <c r="A121" s="1">
        <v>46121</v>
      </c>
      <c r="B121">
        <v>56608.95</v>
      </c>
      <c r="C121">
        <v>56868.7</v>
      </c>
      <c r="D121">
        <v>56217.15</v>
      </c>
      <c r="E121">
        <v>56305</v>
      </c>
      <c r="F121">
        <v>336307548</v>
      </c>
      <c r="G121">
        <v>12081.19</v>
      </c>
      <c r="H121" t="str">
        <f t="shared" si="2"/>
        <v>Apr-2026</v>
      </c>
      <c r="I121" s="2">
        <f t="shared" si="3"/>
        <v>1.455376964745577</v>
      </c>
    </row>
    <row r="122" spans="1:9" x14ac:dyDescent="0.25">
      <c r="A122" s="1">
        <v>46122</v>
      </c>
      <c r="B122">
        <v>57163.35</v>
      </c>
      <c r="C122">
        <v>57438.2</v>
      </c>
      <c r="D122">
        <v>57002.15</v>
      </c>
      <c r="E122">
        <v>57124.45</v>
      </c>
      <c r="F122">
        <v>261934827</v>
      </c>
      <c r="G122">
        <v>8290.5400000000009</v>
      </c>
      <c r="H122" t="str">
        <f t="shared" si="2"/>
        <v>Apr-2026</v>
      </c>
      <c r="I122" s="2">
        <f t="shared" si="3"/>
        <v>0.43238928339791455</v>
      </c>
    </row>
    <row r="123" spans="1:9" x14ac:dyDescent="0.25">
      <c r="A123" s="1">
        <v>46125</v>
      </c>
      <c r="B123">
        <v>56823.6</v>
      </c>
      <c r="C123">
        <v>57456.3</v>
      </c>
      <c r="D123">
        <v>56696.3</v>
      </c>
      <c r="E123">
        <v>57371.45</v>
      </c>
      <c r="F123">
        <v>281413848</v>
      </c>
      <c r="G123">
        <v>12169.87</v>
      </c>
      <c r="H123" t="str">
        <f t="shared" si="2"/>
        <v>Apr-2026</v>
      </c>
      <c r="I123" s="2">
        <f t="shared" si="3"/>
        <v>-1.3754227930442731</v>
      </c>
    </row>
    <row r="124" spans="1:9" x14ac:dyDescent="0.25">
      <c r="A124" s="1">
        <v>46127</v>
      </c>
      <c r="B124">
        <v>56704.05</v>
      </c>
      <c r="C124">
        <v>57085.1</v>
      </c>
      <c r="D124">
        <v>56356.55</v>
      </c>
      <c r="E124">
        <v>56582.35</v>
      </c>
      <c r="F124">
        <v>596140156</v>
      </c>
      <c r="G124">
        <v>14322.75</v>
      </c>
      <c r="H124" t="str">
        <f t="shared" si="2"/>
        <v>Apr-2026</v>
      </c>
      <c r="I124" s="2">
        <f t="shared" si="3"/>
        <v>-2.942613730253596E-2</v>
      </c>
    </row>
    <row r="125" spans="1:9" x14ac:dyDescent="0.25">
      <c r="A125" s="1">
        <v>46128</v>
      </c>
      <c r="B125">
        <v>56072.4</v>
      </c>
      <c r="C125">
        <v>56628.7</v>
      </c>
      <c r="D125">
        <v>55841.65</v>
      </c>
      <c r="E125">
        <v>56565.7</v>
      </c>
      <c r="F125">
        <v>290559933</v>
      </c>
      <c r="G125">
        <v>9847.76</v>
      </c>
      <c r="H125" t="str">
        <f t="shared" si="2"/>
        <v>Apr-2026</v>
      </c>
      <c r="I125" s="2">
        <f t="shared" si="3"/>
        <v>-0.84733327794051094</v>
      </c>
    </row>
    <row r="126" spans="1:9" x14ac:dyDescent="0.25">
      <c r="A126" s="1">
        <v>46129</v>
      </c>
      <c r="B126">
        <v>56657.25</v>
      </c>
      <c r="C126">
        <v>56834.25</v>
      </c>
      <c r="D126">
        <v>55898.25</v>
      </c>
      <c r="E126">
        <v>56086.400000000001</v>
      </c>
      <c r="F126">
        <v>402203847</v>
      </c>
      <c r="G126">
        <v>14096.58</v>
      </c>
      <c r="H126" t="str">
        <f t="shared" si="2"/>
        <v>Apr-2026</v>
      </c>
      <c r="I126" s="2">
        <f t="shared" si="3"/>
        <v>0.38431776687395808</v>
      </c>
    </row>
    <row r="127" spans="1:9" x14ac:dyDescent="0.25">
      <c r="A127" s="1">
        <v>46132</v>
      </c>
      <c r="B127">
        <v>56343.45</v>
      </c>
      <c r="C127">
        <v>56786.25</v>
      </c>
      <c r="D127">
        <v>56109.2</v>
      </c>
      <c r="E127">
        <v>56301.95</v>
      </c>
      <c r="F127">
        <v>267999991</v>
      </c>
      <c r="G127">
        <v>11842.19</v>
      </c>
      <c r="H127" t="str">
        <f t="shared" si="2"/>
        <v>Apr-2026</v>
      </c>
      <c r="I127" s="2">
        <f t="shared" si="3"/>
        <v>-1.2377901653495025</v>
      </c>
    </row>
    <row r="128" spans="1:9" x14ac:dyDescent="0.25">
      <c r="A128" s="1">
        <v>46133</v>
      </c>
      <c r="B128">
        <v>54646</v>
      </c>
      <c r="C128">
        <v>55752.65</v>
      </c>
      <c r="D128">
        <v>54356.2</v>
      </c>
      <c r="E128">
        <v>55605.05</v>
      </c>
      <c r="F128">
        <v>303606436</v>
      </c>
      <c r="G128">
        <v>13923.52</v>
      </c>
      <c r="H128" t="str">
        <f t="shared" si="2"/>
        <v>Apr-2026</v>
      </c>
      <c r="I128" s="2">
        <f t="shared" si="3"/>
        <v>0.55336700533494187</v>
      </c>
    </row>
    <row r="129" spans="1:9" x14ac:dyDescent="0.25">
      <c r="A129" s="1">
        <v>46134</v>
      </c>
      <c r="B129">
        <v>55182.25</v>
      </c>
      <c r="C129">
        <v>55978.5</v>
      </c>
      <c r="D129">
        <v>55145.25</v>
      </c>
      <c r="E129">
        <v>55912.75</v>
      </c>
      <c r="F129">
        <v>281031417</v>
      </c>
      <c r="G129">
        <v>11050.95</v>
      </c>
      <c r="H129" t="str">
        <f t="shared" si="2"/>
        <v>Apr-2026</v>
      </c>
      <c r="I129" s="2">
        <f t="shared" si="3"/>
        <v>-1.9513438348140681</v>
      </c>
    </row>
    <row r="130" spans="1:9" x14ac:dyDescent="0.25">
      <c r="A130" s="1">
        <v>46135</v>
      </c>
      <c r="B130">
        <v>55505.95</v>
      </c>
      <c r="C130">
        <v>55583.1</v>
      </c>
      <c r="D130">
        <v>54626.85</v>
      </c>
      <c r="E130">
        <v>54821.7</v>
      </c>
      <c r="F130">
        <v>298789312</v>
      </c>
      <c r="G130">
        <v>12761.46</v>
      </c>
      <c r="H130" t="str">
        <f t="shared" si="2"/>
        <v>Apr-2026</v>
      </c>
      <c r="I130" s="2">
        <f t="shared" si="3"/>
        <v>1.6092167882426198</v>
      </c>
    </row>
    <row r="131" spans="1:9" x14ac:dyDescent="0.25">
      <c r="A131" s="1">
        <v>46136</v>
      </c>
      <c r="B131">
        <v>54904.45</v>
      </c>
      <c r="C131">
        <v>55778.25</v>
      </c>
      <c r="D131">
        <v>54797.5</v>
      </c>
      <c r="E131">
        <v>55703.9</v>
      </c>
      <c r="F131">
        <v>443562335</v>
      </c>
      <c r="G131">
        <v>18029.45</v>
      </c>
      <c r="H131" t="str">
        <f t="shared" ref="H131:H194" si="4">TEXT(A131,"mmm-yyyy")</f>
        <v>Apr-2026</v>
      </c>
      <c r="I131" s="2">
        <f t="shared" ref="I131:I194" si="5">((E132-E131)/E131)*100</f>
        <v>-5.3634485197625326</v>
      </c>
    </row>
    <row r="132" spans="1:9" x14ac:dyDescent="0.25">
      <c r="A132" s="1">
        <v>46139</v>
      </c>
      <c r="B132">
        <v>52258.7</v>
      </c>
      <c r="C132">
        <v>52778.2</v>
      </c>
      <c r="D132">
        <v>51868.45</v>
      </c>
      <c r="E132">
        <v>52716.25</v>
      </c>
      <c r="F132">
        <v>279734514</v>
      </c>
      <c r="G132">
        <v>12333.3</v>
      </c>
      <c r="H132" t="str">
        <f t="shared" si="4"/>
        <v>Apr-2026</v>
      </c>
      <c r="I132" s="2">
        <f t="shared" si="5"/>
        <v>-0.20325800867854119</v>
      </c>
    </row>
    <row r="133" spans="1:9" x14ac:dyDescent="0.25">
      <c r="A133" s="1">
        <v>46140</v>
      </c>
      <c r="B133">
        <v>51747.6</v>
      </c>
      <c r="C133">
        <v>52704.55</v>
      </c>
      <c r="D133">
        <v>51111.1</v>
      </c>
      <c r="E133">
        <v>52609.1</v>
      </c>
      <c r="F133">
        <v>355025586</v>
      </c>
      <c r="G133">
        <v>10973.33</v>
      </c>
      <c r="H133" t="str">
        <f t="shared" si="4"/>
        <v>Apr-2026</v>
      </c>
      <c r="I133" s="2">
        <f t="shared" si="5"/>
        <v>-2.0155258310824524</v>
      </c>
    </row>
    <row r="134" spans="1:9" x14ac:dyDescent="0.25">
      <c r="A134" s="1">
        <v>46141</v>
      </c>
      <c r="B134">
        <v>50625.65</v>
      </c>
      <c r="C134">
        <v>51731.95</v>
      </c>
      <c r="D134">
        <v>49954.85</v>
      </c>
      <c r="E134">
        <v>51548.75</v>
      </c>
      <c r="F134">
        <v>339187207</v>
      </c>
      <c r="G134">
        <v>12190.88</v>
      </c>
      <c r="H134" t="str">
        <f t="shared" si="4"/>
        <v>Apr-2026</v>
      </c>
      <c r="I134" s="2">
        <f t="shared" si="5"/>
        <v>-0.19418511603093877</v>
      </c>
    </row>
    <row r="135" spans="1:9" x14ac:dyDescent="0.25">
      <c r="A135" s="1">
        <v>46142</v>
      </c>
      <c r="B135">
        <v>51433.9</v>
      </c>
      <c r="C135">
        <v>52025.85</v>
      </c>
      <c r="D135">
        <v>51133.55</v>
      </c>
      <c r="E135">
        <v>51448.65</v>
      </c>
      <c r="F135">
        <v>370080617</v>
      </c>
      <c r="G135">
        <v>14540.54</v>
      </c>
      <c r="H135" t="str">
        <f t="shared" si="4"/>
        <v>Apr-2026</v>
      </c>
      <c r="I135" s="2">
        <f t="shared" si="5"/>
        <v>-2.2805263111860135</v>
      </c>
    </row>
    <row r="136" spans="1:9" x14ac:dyDescent="0.25">
      <c r="A136" s="1">
        <v>46146</v>
      </c>
      <c r="B136">
        <v>51527.9</v>
      </c>
      <c r="C136">
        <v>51624.5</v>
      </c>
      <c r="D136">
        <v>50105.25</v>
      </c>
      <c r="E136">
        <v>50275.35</v>
      </c>
      <c r="F136">
        <v>564854267</v>
      </c>
      <c r="G136">
        <v>19609.939999999999</v>
      </c>
      <c r="H136" t="str">
        <f t="shared" si="4"/>
        <v>May-2026</v>
      </c>
      <c r="I136" s="2">
        <f t="shared" si="5"/>
        <v>3.9766008590691064</v>
      </c>
    </row>
    <row r="137" spans="1:9" x14ac:dyDescent="0.25">
      <c r="A137" s="1">
        <v>46147</v>
      </c>
      <c r="B137">
        <v>53244.25</v>
      </c>
      <c r="C137">
        <v>53292.5</v>
      </c>
      <c r="D137">
        <v>52211.199999999997</v>
      </c>
      <c r="E137">
        <v>52274.6</v>
      </c>
      <c r="F137">
        <v>652961325</v>
      </c>
      <c r="G137">
        <v>17256.849999999999</v>
      </c>
      <c r="H137" t="str">
        <f t="shared" si="4"/>
        <v>May-2026</v>
      </c>
      <c r="I137" s="2">
        <f t="shared" si="5"/>
        <v>2.742249582014975</v>
      </c>
    </row>
    <row r="138" spans="1:9" x14ac:dyDescent="0.25">
      <c r="A138" s="1">
        <v>46148</v>
      </c>
      <c r="B138">
        <v>53024.75</v>
      </c>
      <c r="C138">
        <v>54146.15</v>
      </c>
      <c r="D138">
        <v>53024.75</v>
      </c>
      <c r="E138">
        <v>53708.1</v>
      </c>
      <c r="F138">
        <v>348622900</v>
      </c>
      <c r="G138">
        <v>13553.77</v>
      </c>
      <c r="H138" t="str">
        <f t="shared" si="4"/>
        <v>May-2026</v>
      </c>
      <c r="I138" s="2">
        <f t="shared" si="5"/>
        <v>-2.0526698952299505</v>
      </c>
    </row>
    <row r="139" spans="1:9" x14ac:dyDescent="0.25">
      <c r="A139" s="1">
        <v>46149</v>
      </c>
      <c r="B139">
        <v>52384.800000000003</v>
      </c>
      <c r="C139">
        <v>52949.15</v>
      </c>
      <c r="D139">
        <v>51827.5</v>
      </c>
      <c r="E139">
        <v>52605.65</v>
      </c>
      <c r="F139">
        <v>340583044</v>
      </c>
      <c r="G139">
        <v>14262.57</v>
      </c>
      <c r="H139" t="str">
        <f t="shared" si="4"/>
        <v>May-2026</v>
      </c>
      <c r="I139" s="2">
        <f t="shared" si="5"/>
        <v>-2.2201037341046095</v>
      </c>
    </row>
    <row r="140" spans="1:9" x14ac:dyDescent="0.25">
      <c r="A140" s="1">
        <v>46150</v>
      </c>
      <c r="B140">
        <v>52576.1</v>
      </c>
      <c r="C140">
        <v>52665.3</v>
      </c>
      <c r="D140">
        <v>51323.6</v>
      </c>
      <c r="E140">
        <v>51437.75</v>
      </c>
      <c r="F140">
        <v>397272538</v>
      </c>
      <c r="G140">
        <v>13308.41</v>
      </c>
      <c r="H140" t="str">
        <f t="shared" si="4"/>
        <v>May-2026</v>
      </c>
      <c r="I140" s="2">
        <f t="shared" si="5"/>
        <v>3.8673931110905961</v>
      </c>
    </row>
    <row r="141" spans="1:9" x14ac:dyDescent="0.25">
      <c r="A141" s="1">
        <v>46153</v>
      </c>
      <c r="B141">
        <v>53548.2</v>
      </c>
      <c r="C141">
        <v>54382.45</v>
      </c>
      <c r="D141">
        <v>53297.55</v>
      </c>
      <c r="E141">
        <v>53427.05</v>
      </c>
      <c r="F141">
        <v>403462742</v>
      </c>
      <c r="G141">
        <v>17220.169999999998</v>
      </c>
      <c r="H141" t="str">
        <f t="shared" si="4"/>
        <v>May-2026</v>
      </c>
      <c r="I141" s="2">
        <f t="shared" si="5"/>
        <v>4.4827479712986375E-2</v>
      </c>
    </row>
    <row r="142" spans="1:9" x14ac:dyDescent="0.25">
      <c r="A142" s="1">
        <v>46154</v>
      </c>
      <c r="B142">
        <v>53474.55</v>
      </c>
      <c r="C142">
        <v>54150.3</v>
      </c>
      <c r="D142">
        <v>53240.6</v>
      </c>
      <c r="E142">
        <v>53451</v>
      </c>
      <c r="F142">
        <v>395346799</v>
      </c>
      <c r="G142">
        <v>20607.88</v>
      </c>
      <c r="H142" t="str">
        <f t="shared" si="4"/>
        <v>May-2026</v>
      </c>
      <c r="I142" s="2">
        <f t="shared" si="5"/>
        <v>3.5079792707339483</v>
      </c>
    </row>
    <row r="143" spans="1:9" x14ac:dyDescent="0.25">
      <c r="A143" s="1">
        <v>46155</v>
      </c>
      <c r="B143">
        <v>54927.05</v>
      </c>
      <c r="C143">
        <v>55554.15</v>
      </c>
      <c r="D143">
        <v>54689.1</v>
      </c>
      <c r="E143">
        <v>55326.05</v>
      </c>
      <c r="F143">
        <v>223220072</v>
      </c>
      <c r="G143">
        <v>7903.44</v>
      </c>
      <c r="H143" t="str">
        <f t="shared" si="4"/>
        <v>May-2026</v>
      </c>
      <c r="I143" s="2">
        <f t="shared" si="5"/>
        <v>-0.81345044513389786</v>
      </c>
    </row>
    <row r="144" spans="1:9" x14ac:dyDescent="0.25">
      <c r="A144" s="1">
        <v>46156</v>
      </c>
      <c r="B144">
        <v>54649.1</v>
      </c>
      <c r="C144">
        <v>54996</v>
      </c>
      <c r="D144">
        <v>54113.15</v>
      </c>
      <c r="E144">
        <v>54876</v>
      </c>
      <c r="F144">
        <v>277121654</v>
      </c>
      <c r="G144">
        <v>11004.3</v>
      </c>
      <c r="H144" t="str">
        <f t="shared" si="4"/>
        <v>May-2026</v>
      </c>
      <c r="I144" s="2">
        <f t="shared" si="5"/>
        <v>-0.84299147168160682</v>
      </c>
    </row>
    <row r="145" spans="1:9" x14ac:dyDescent="0.25">
      <c r="A145" s="1">
        <v>46157</v>
      </c>
      <c r="B145">
        <v>53721.5</v>
      </c>
      <c r="C145">
        <v>54664.15</v>
      </c>
      <c r="D145">
        <v>53258.15</v>
      </c>
      <c r="E145">
        <v>54413.4</v>
      </c>
      <c r="F145">
        <v>390205387</v>
      </c>
      <c r="G145">
        <v>13320.22</v>
      </c>
      <c r="H145" t="str">
        <f t="shared" si="4"/>
        <v>May-2026</v>
      </c>
      <c r="I145" s="2">
        <f t="shared" si="5"/>
        <v>-1.2047583867209233</v>
      </c>
    </row>
    <row r="146" spans="1:9" x14ac:dyDescent="0.25">
      <c r="A146" s="1">
        <v>46160</v>
      </c>
      <c r="B146">
        <v>54592.05</v>
      </c>
      <c r="C146">
        <v>54713.75</v>
      </c>
      <c r="D146">
        <v>53675.7</v>
      </c>
      <c r="E146">
        <v>53757.85</v>
      </c>
      <c r="F146">
        <v>327503656</v>
      </c>
      <c r="G146">
        <v>11759.55</v>
      </c>
      <c r="H146" t="str">
        <f t="shared" si="4"/>
        <v>May-2026</v>
      </c>
      <c r="I146" s="2">
        <f t="shared" si="5"/>
        <v>2.4984258113001143</v>
      </c>
    </row>
    <row r="147" spans="1:9" x14ac:dyDescent="0.25">
      <c r="A147" s="1">
        <v>46161</v>
      </c>
      <c r="B147">
        <v>55008.2</v>
      </c>
      <c r="C147">
        <v>55636.95</v>
      </c>
      <c r="D147">
        <v>54760.55</v>
      </c>
      <c r="E147">
        <v>55100.95</v>
      </c>
      <c r="F147">
        <v>311267722</v>
      </c>
      <c r="G147">
        <v>12408.63</v>
      </c>
      <c r="H147" t="str">
        <f t="shared" si="4"/>
        <v>May-2026</v>
      </c>
      <c r="I147" s="2">
        <f t="shared" si="5"/>
        <v>1.1520672511091059</v>
      </c>
    </row>
    <row r="148" spans="1:9" x14ac:dyDescent="0.25">
      <c r="A148" s="1">
        <v>46162</v>
      </c>
      <c r="B148">
        <v>56790.400000000001</v>
      </c>
      <c r="C148">
        <v>56938.400000000001</v>
      </c>
      <c r="D148">
        <v>55631.95</v>
      </c>
      <c r="E148">
        <v>55735.75</v>
      </c>
      <c r="F148">
        <v>261028306</v>
      </c>
      <c r="G148">
        <v>9965.82</v>
      </c>
      <c r="H148" t="str">
        <f t="shared" si="4"/>
        <v>May-2026</v>
      </c>
      <c r="I148" s="2">
        <f t="shared" si="5"/>
        <v>2.1800191080231324</v>
      </c>
    </row>
    <row r="149" spans="1:9" x14ac:dyDescent="0.25">
      <c r="A149" s="1">
        <v>46163</v>
      </c>
      <c r="B149">
        <v>56583.85</v>
      </c>
      <c r="C149">
        <v>57097.05</v>
      </c>
      <c r="D149">
        <v>56387.199999999997</v>
      </c>
      <c r="E149">
        <v>56950.8</v>
      </c>
      <c r="F149">
        <v>346820170</v>
      </c>
      <c r="G149">
        <v>13208.91</v>
      </c>
      <c r="H149" t="str">
        <f t="shared" si="4"/>
        <v>May-2026</v>
      </c>
      <c r="I149" s="2">
        <f t="shared" si="5"/>
        <v>-1.6347443758472227</v>
      </c>
    </row>
    <row r="150" spans="1:9" x14ac:dyDescent="0.25">
      <c r="A150" s="1">
        <v>46164</v>
      </c>
      <c r="B150">
        <v>56121.4</v>
      </c>
      <c r="C150">
        <v>56274.15</v>
      </c>
      <c r="D150">
        <v>55270.6</v>
      </c>
      <c r="E150">
        <v>56019.8</v>
      </c>
      <c r="F150">
        <v>374097683</v>
      </c>
      <c r="G150">
        <v>12357.84</v>
      </c>
      <c r="H150" t="str">
        <f t="shared" si="4"/>
        <v>May-2026</v>
      </c>
      <c r="I150" s="2">
        <f t="shared" si="5"/>
        <v>3.1479048479287628</v>
      </c>
    </row>
    <row r="151" spans="1:9" x14ac:dyDescent="0.25">
      <c r="A151" s="1">
        <v>46167</v>
      </c>
      <c r="B151">
        <v>58629.599999999999</v>
      </c>
      <c r="C151">
        <v>58807.15</v>
      </c>
      <c r="D151">
        <v>57696.4</v>
      </c>
      <c r="E151">
        <v>57783.25</v>
      </c>
      <c r="F151">
        <v>256863138</v>
      </c>
      <c r="G151">
        <v>12219.2</v>
      </c>
      <c r="H151" t="str">
        <f t="shared" si="4"/>
        <v>May-2026</v>
      </c>
      <c r="I151" s="2">
        <f t="shared" si="5"/>
        <v>2.2023683333838067</v>
      </c>
    </row>
    <row r="152" spans="1:9" x14ac:dyDescent="0.25">
      <c r="A152" s="1">
        <v>46168</v>
      </c>
      <c r="B152">
        <v>59008.25</v>
      </c>
      <c r="C152">
        <v>59274.35</v>
      </c>
      <c r="D152">
        <v>58506.400000000001</v>
      </c>
      <c r="E152">
        <v>59055.85</v>
      </c>
      <c r="F152">
        <v>273526525</v>
      </c>
      <c r="G152">
        <v>11232.25</v>
      </c>
      <c r="H152" t="str">
        <f t="shared" si="4"/>
        <v>May-2026</v>
      </c>
      <c r="I152" s="2">
        <f t="shared" si="5"/>
        <v>-0.50900969167321874</v>
      </c>
    </row>
    <row r="153" spans="1:9" x14ac:dyDescent="0.25">
      <c r="A153" s="1">
        <v>46169</v>
      </c>
      <c r="B153">
        <v>58447.15</v>
      </c>
      <c r="C153">
        <v>59058.400000000001</v>
      </c>
      <c r="D153">
        <v>58393.55</v>
      </c>
      <c r="E153">
        <v>58755.25</v>
      </c>
      <c r="F153">
        <v>363102095</v>
      </c>
      <c r="G153">
        <v>12336.06</v>
      </c>
      <c r="H153" t="str">
        <f t="shared" si="4"/>
        <v>May-2026</v>
      </c>
      <c r="I153" s="2">
        <f t="shared" si="5"/>
        <v>1.8456223060917987</v>
      </c>
    </row>
    <row r="154" spans="1:9" x14ac:dyDescent="0.25">
      <c r="A154" s="1">
        <v>46171</v>
      </c>
      <c r="B154">
        <v>59204.3</v>
      </c>
      <c r="C154">
        <v>60177.5</v>
      </c>
      <c r="D154">
        <v>59148</v>
      </c>
      <c r="E154">
        <v>59839.65</v>
      </c>
      <c r="F154">
        <v>387102246</v>
      </c>
      <c r="G154">
        <v>11729.09</v>
      </c>
      <c r="H154" t="str">
        <f t="shared" si="4"/>
        <v>May-2026</v>
      </c>
      <c r="I154" s="2">
        <f t="shared" si="5"/>
        <v>1.1519953743044928</v>
      </c>
    </row>
    <row r="155" spans="1:9" x14ac:dyDescent="0.25">
      <c r="A155" s="1">
        <v>46174</v>
      </c>
      <c r="B155">
        <v>61057.45</v>
      </c>
      <c r="C155">
        <v>61086.45</v>
      </c>
      <c r="D155">
        <v>60438.95</v>
      </c>
      <c r="E155">
        <v>60529</v>
      </c>
      <c r="F155">
        <v>369227038</v>
      </c>
      <c r="G155">
        <v>13055.66</v>
      </c>
      <c r="H155" t="str">
        <f t="shared" si="4"/>
        <v>Jun-2026</v>
      </c>
      <c r="I155" s="2">
        <f t="shared" si="5"/>
        <v>1.0882386955013252</v>
      </c>
    </row>
    <row r="156" spans="1:9" x14ac:dyDescent="0.25">
      <c r="A156" s="1">
        <v>46175</v>
      </c>
      <c r="B156">
        <v>61193.9</v>
      </c>
      <c r="C156">
        <v>61284.75</v>
      </c>
      <c r="D156">
        <v>60813.3</v>
      </c>
      <c r="E156">
        <v>61187.7</v>
      </c>
      <c r="F156">
        <v>602742091</v>
      </c>
      <c r="G156">
        <v>16566.5</v>
      </c>
      <c r="H156" t="str">
        <f t="shared" si="4"/>
        <v>Jun-2026</v>
      </c>
      <c r="I156" s="2">
        <f t="shared" si="5"/>
        <v>-0.23591342704497564</v>
      </c>
    </row>
    <row r="157" spans="1:9" x14ac:dyDescent="0.25">
      <c r="A157" s="1">
        <v>46176</v>
      </c>
      <c r="B157">
        <v>61175.05</v>
      </c>
      <c r="C157">
        <v>61317.55</v>
      </c>
      <c r="D157">
        <v>60816.75</v>
      </c>
      <c r="E157">
        <v>61043.35</v>
      </c>
      <c r="F157">
        <v>321648989</v>
      </c>
      <c r="G157">
        <v>10957.98</v>
      </c>
      <c r="H157" t="str">
        <f t="shared" si="4"/>
        <v>Jun-2026</v>
      </c>
      <c r="I157" s="2">
        <f t="shared" si="5"/>
        <v>6.4708113168827812E-3</v>
      </c>
    </row>
    <row r="158" spans="1:9" x14ac:dyDescent="0.25">
      <c r="A158" s="1">
        <v>46177</v>
      </c>
      <c r="B158">
        <v>61392.1</v>
      </c>
      <c r="C158">
        <v>61435.65</v>
      </c>
      <c r="D158">
        <v>60801.85</v>
      </c>
      <c r="E158">
        <v>61047.3</v>
      </c>
      <c r="F158">
        <v>587726979</v>
      </c>
      <c r="G158">
        <v>13885.44</v>
      </c>
      <c r="H158" t="str">
        <f t="shared" si="4"/>
        <v>Jun-2026</v>
      </c>
      <c r="I158" s="2">
        <f t="shared" si="5"/>
        <v>0.35538017242367326</v>
      </c>
    </row>
    <row r="159" spans="1:9" x14ac:dyDescent="0.25">
      <c r="A159" s="1">
        <v>46178</v>
      </c>
      <c r="B159">
        <v>61145.55</v>
      </c>
      <c r="C159">
        <v>61517.8</v>
      </c>
      <c r="D159">
        <v>61029.15</v>
      </c>
      <c r="E159">
        <v>61264.25</v>
      </c>
      <c r="F159">
        <v>841881403</v>
      </c>
      <c r="G159">
        <v>13925.19</v>
      </c>
      <c r="H159" t="str">
        <f t="shared" si="4"/>
        <v>Jun-2026</v>
      </c>
      <c r="I159" s="2">
        <f t="shared" si="5"/>
        <v>-0.15057721264848586</v>
      </c>
    </row>
    <row r="160" spans="1:9" x14ac:dyDescent="0.25">
      <c r="A160" s="1">
        <v>46181</v>
      </c>
      <c r="B160">
        <v>60627.85</v>
      </c>
      <c r="C160">
        <v>61360.5</v>
      </c>
      <c r="D160">
        <v>60562.35</v>
      </c>
      <c r="E160">
        <v>61172</v>
      </c>
      <c r="F160">
        <v>219798497</v>
      </c>
      <c r="G160">
        <v>8317.93</v>
      </c>
      <c r="H160" t="str">
        <f t="shared" si="4"/>
        <v>Jun-2026</v>
      </c>
      <c r="I160" s="2">
        <f t="shared" si="5"/>
        <v>-0.70694108415614521</v>
      </c>
    </row>
    <row r="161" spans="1:9" x14ac:dyDescent="0.25">
      <c r="A161" s="1">
        <v>46182</v>
      </c>
      <c r="B161">
        <v>61660.85</v>
      </c>
      <c r="C161">
        <v>61678.8</v>
      </c>
      <c r="D161">
        <v>60592.9</v>
      </c>
      <c r="E161">
        <v>60739.55</v>
      </c>
      <c r="F161">
        <v>190638669</v>
      </c>
      <c r="G161">
        <v>7669.36</v>
      </c>
      <c r="H161" t="str">
        <f t="shared" si="4"/>
        <v>Jun-2026</v>
      </c>
      <c r="I161" s="2">
        <f t="shared" si="5"/>
        <v>1.3356206952471659</v>
      </c>
    </row>
    <row r="162" spans="1:9" x14ac:dyDescent="0.25">
      <c r="A162" s="1">
        <v>46183</v>
      </c>
      <c r="B162">
        <v>61255.35</v>
      </c>
      <c r="C162">
        <v>61596.85</v>
      </c>
      <c r="D162">
        <v>61100.9</v>
      </c>
      <c r="E162">
        <v>61550.8</v>
      </c>
      <c r="F162">
        <v>218063267</v>
      </c>
      <c r="G162">
        <v>6931.18</v>
      </c>
      <c r="H162" t="str">
        <f t="shared" si="4"/>
        <v>Jun-2026</v>
      </c>
      <c r="I162" s="2">
        <f t="shared" si="5"/>
        <v>-0.61217725845968352</v>
      </c>
    </row>
    <row r="163" spans="1:9" x14ac:dyDescent="0.25">
      <c r="A163" s="1">
        <v>46184</v>
      </c>
      <c r="B163">
        <v>60821.15</v>
      </c>
      <c r="C163">
        <v>61241.599999999999</v>
      </c>
      <c r="D163">
        <v>60560</v>
      </c>
      <c r="E163">
        <v>61174</v>
      </c>
      <c r="F163">
        <v>264042737</v>
      </c>
      <c r="G163">
        <v>10267.27</v>
      </c>
      <c r="H163" t="str">
        <f t="shared" si="4"/>
        <v>Jun-2026</v>
      </c>
      <c r="I163" s="2">
        <f t="shared" si="5"/>
        <v>-0.36763984699382329</v>
      </c>
    </row>
    <row r="164" spans="1:9" x14ac:dyDescent="0.25">
      <c r="A164" s="1">
        <v>46185</v>
      </c>
      <c r="B164">
        <v>59947.8</v>
      </c>
      <c r="C164">
        <v>61011.3</v>
      </c>
      <c r="D164">
        <v>59861.1</v>
      </c>
      <c r="E164">
        <v>60949.1</v>
      </c>
      <c r="F164">
        <v>168628013</v>
      </c>
      <c r="G164">
        <v>6913.02</v>
      </c>
      <c r="H164" t="str">
        <f t="shared" si="4"/>
        <v>Jun-2026</v>
      </c>
      <c r="I164" s="2">
        <f t="shared" si="5"/>
        <v>-1.250961868181806</v>
      </c>
    </row>
    <row r="165" spans="1:9" x14ac:dyDescent="0.25">
      <c r="A165" s="1">
        <v>46188</v>
      </c>
      <c r="B165">
        <v>60504.4</v>
      </c>
      <c r="C165">
        <v>60621.9</v>
      </c>
      <c r="D165">
        <v>60073.55</v>
      </c>
      <c r="E165">
        <v>60186.65</v>
      </c>
      <c r="F165">
        <v>236603159</v>
      </c>
      <c r="G165">
        <v>11648.08</v>
      </c>
      <c r="H165" t="str">
        <f t="shared" si="4"/>
        <v>Jun-2026</v>
      </c>
      <c r="I165" s="2">
        <f t="shared" si="5"/>
        <v>0.91897455665001881</v>
      </c>
    </row>
    <row r="166" spans="1:9" x14ac:dyDescent="0.25">
      <c r="A166" s="1">
        <v>46189</v>
      </c>
      <c r="B166">
        <v>60786.15</v>
      </c>
      <c r="C166">
        <v>60864.4</v>
      </c>
      <c r="D166">
        <v>60597.65</v>
      </c>
      <c r="E166">
        <v>60739.75</v>
      </c>
      <c r="F166">
        <v>266999047</v>
      </c>
      <c r="G166">
        <v>12991.36</v>
      </c>
      <c r="H166" t="str">
        <f t="shared" si="4"/>
        <v>Jun-2026</v>
      </c>
      <c r="I166" s="2">
        <f t="shared" si="5"/>
        <v>9.2196625768109757E-3</v>
      </c>
    </row>
    <row r="167" spans="1:9" x14ac:dyDescent="0.25">
      <c r="A167" s="1">
        <v>46190</v>
      </c>
      <c r="B167">
        <v>60670.25</v>
      </c>
      <c r="C167">
        <v>60779.95</v>
      </c>
      <c r="D167">
        <v>60444.65</v>
      </c>
      <c r="E167">
        <v>60745.35</v>
      </c>
      <c r="F167">
        <v>235120784</v>
      </c>
      <c r="G167">
        <v>10187.01</v>
      </c>
      <c r="H167" t="str">
        <f t="shared" si="4"/>
        <v>Jun-2026</v>
      </c>
      <c r="I167" s="2">
        <f t="shared" si="5"/>
        <v>-0.19581745763255476</v>
      </c>
    </row>
    <row r="168" spans="1:9" x14ac:dyDescent="0.25">
      <c r="A168" s="1">
        <v>46191</v>
      </c>
      <c r="B168">
        <v>60740.800000000003</v>
      </c>
      <c r="C168">
        <v>60797.55</v>
      </c>
      <c r="D168">
        <v>60531.55</v>
      </c>
      <c r="E168">
        <v>60626.400000000001</v>
      </c>
      <c r="F168">
        <v>215859015</v>
      </c>
      <c r="G168">
        <v>10409.67</v>
      </c>
      <c r="H168" t="str">
        <f t="shared" si="4"/>
        <v>Jun-2026</v>
      </c>
      <c r="I168" s="2">
        <f t="shared" si="5"/>
        <v>7.0843724845936901E-2</v>
      </c>
    </row>
    <row r="169" spans="1:9" x14ac:dyDescent="0.25">
      <c r="A169" s="1">
        <v>46192</v>
      </c>
      <c r="B169">
        <v>60805.2</v>
      </c>
      <c r="C169">
        <v>60876.2</v>
      </c>
      <c r="D169">
        <v>60495.7</v>
      </c>
      <c r="E169">
        <v>60669.35</v>
      </c>
      <c r="F169">
        <v>263383179</v>
      </c>
      <c r="G169">
        <v>11866.25</v>
      </c>
      <c r="H169" t="str">
        <f t="shared" si="4"/>
        <v>Jun-2026</v>
      </c>
      <c r="I169" s="2">
        <f t="shared" si="5"/>
        <v>-0.90457537455073378</v>
      </c>
    </row>
    <row r="170" spans="1:9" x14ac:dyDescent="0.25">
      <c r="A170" s="1">
        <v>46195</v>
      </c>
      <c r="B170">
        <v>59967.1</v>
      </c>
      <c r="C170">
        <v>60149.9</v>
      </c>
      <c r="D170">
        <v>59644.55</v>
      </c>
      <c r="E170">
        <v>60120.55</v>
      </c>
      <c r="F170">
        <v>204838843</v>
      </c>
      <c r="G170">
        <v>7267.23</v>
      </c>
      <c r="H170" t="str">
        <f t="shared" si="4"/>
        <v>Jun-2026</v>
      </c>
      <c r="I170" s="2">
        <f t="shared" si="5"/>
        <v>-9.4643179412033734E-2</v>
      </c>
    </row>
    <row r="171" spans="1:9" x14ac:dyDescent="0.25">
      <c r="A171" s="1">
        <v>46196</v>
      </c>
      <c r="B171">
        <v>60315.35</v>
      </c>
      <c r="C171">
        <v>60328.3</v>
      </c>
      <c r="D171">
        <v>59881.05</v>
      </c>
      <c r="E171">
        <v>60063.65</v>
      </c>
      <c r="F171">
        <v>231379745</v>
      </c>
      <c r="G171">
        <v>7983.28</v>
      </c>
      <c r="H171" t="str">
        <f t="shared" si="4"/>
        <v>Jun-2026</v>
      </c>
      <c r="I171" s="2">
        <f t="shared" si="5"/>
        <v>0.29052513458639295</v>
      </c>
    </row>
    <row r="172" spans="1:9" x14ac:dyDescent="0.25">
      <c r="A172" s="1">
        <v>46197</v>
      </c>
      <c r="B172">
        <v>60163.35</v>
      </c>
      <c r="C172">
        <v>60389.4</v>
      </c>
      <c r="D172">
        <v>59891.75</v>
      </c>
      <c r="E172">
        <v>60238.15</v>
      </c>
      <c r="F172">
        <v>255627301</v>
      </c>
      <c r="G172">
        <v>8092.67</v>
      </c>
      <c r="H172" t="str">
        <f t="shared" si="4"/>
        <v>Jun-2026</v>
      </c>
      <c r="I172" s="2">
        <f t="shared" si="5"/>
        <v>-0.32678626418639772</v>
      </c>
    </row>
    <row r="173" spans="1:9" x14ac:dyDescent="0.25">
      <c r="A173" s="1">
        <v>46198</v>
      </c>
      <c r="B173">
        <v>61411.199999999997</v>
      </c>
      <c r="C173">
        <v>61764.85</v>
      </c>
      <c r="D173">
        <v>59793.2</v>
      </c>
      <c r="E173">
        <v>60041.3</v>
      </c>
      <c r="F173">
        <v>368345752</v>
      </c>
      <c r="G173">
        <v>16163.36</v>
      </c>
      <c r="H173" t="str">
        <f t="shared" si="4"/>
        <v>Jun-2026</v>
      </c>
      <c r="I173" s="2">
        <f t="shared" si="5"/>
        <v>-2.3688694282102531</v>
      </c>
    </row>
    <row r="174" spans="1:9" x14ac:dyDescent="0.25">
      <c r="A174" s="1">
        <v>46202</v>
      </c>
      <c r="B174">
        <v>58239.3</v>
      </c>
      <c r="C174">
        <v>58687.05</v>
      </c>
      <c r="D174">
        <v>57829.85</v>
      </c>
      <c r="E174">
        <v>58619</v>
      </c>
      <c r="F174">
        <v>282473569</v>
      </c>
      <c r="G174">
        <v>9987.01</v>
      </c>
      <c r="H174" t="str">
        <f t="shared" si="4"/>
        <v>Jun-2026</v>
      </c>
      <c r="I174" s="2">
        <f t="shared" si="5"/>
        <v>-0.34425698152476658</v>
      </c>
    </row>
    <row r="175" spans="1:9" x14ac:dyDescent="0.25">
      <c r="A175" s="1">
        <v>46203</v>
      </c>
      <c r="B175">
        <v>59607.65</v>
      </c>
      <c r="C175">
        <v>59865.7</v>
      </c>
      <c r="D175">
        <v>57783.199999999997</v>
      </c>
      <c r="E175">
        <v>58417.2</v>
      </c>
      <c r="F175">
        <v>204312522</v>
      </c>
      <c r="G175">
        <v>5673.45</v>
      </c>
      <c r="H175" t="str">
        <f t="shared" si="4"/>
        <v>Jun-2026</v>
      </c>
      <c r="I175" s="2">
        <f t="shared" si="5"/>
        <v>2.0426347034777428</v>
      </c>
    </row>
    <row r="176" spans="1:9" x14ac:dyDescent="0.25">
      <c r="A176" s="1">
        <v>46204</v>
      </c>
      <c r="B176">
        <v>59542.25</v>
      </c>
      <c r="C176">
        <v>59906.9</v>
      </c>
      <c r="D176">
        <v>59501.8</v>
      </c>
      <c r="E176">
        <v>59610.45</v>
      </c>
      <c r="F176">
        <v>317798499</v>
      </c>
      <c r="G176">
        <v>12587.49</v>
      </c>
      <c r="H176" t="str">
        <f t="shared" si="4"/>
        <v>Jul-2026</v>
      </c>
      <c r="I176" s="2">
        <f t="shared" si="5"/>
        <v>0.58278372332368145</v>
      </c>
    </row>
    <row r="177" spans="1:9" x14ac:dyDescent="0.25">
      <c r="A177" s="1">
        <v>46205</v>
      </c>
      <c r="B177">
        <v>59416.25</v>
      </c>
      <c r="C177">
        <v>60060.7</v>
      </c>
      <c r="D177">
        <v>59339</v>
      </c>
      <c r="E177">
        <v>59957.85</v>
      </c>
      <c r="F177">
        <v>617356910</v>
      </c>
      <c r="G177">
        <v>16628.34</v>
      </c>
      <c r="H177" t="str">
        <f t="shared" si="4"/>
        <v>Jul-2026</v>
      </c>
      <c r="I177" s="2">
        <f t="shared" si="5"/>
        <v>-0.59883734990496762</v>
      </c>
    </row>
    <row r="178" spans="1:9" x14ac:dyDescent="0.25">
      <c r="A178" s="1">
        <v>46206</v>
      </c>
      <c r="B178">
        <v>59575.65</v>
      </c>
      <c r="C178">
        <v>59699.9</v>
      </c>
      <c r="D178">
        <v>59240.1</v>
      </c>
      <c r="E178">
        <v>59598.8</v>
      </c>
      <c r="F178">
        <v>289254779</v>
      </c>
      <c r="G178">
        <v>11447.46</v>
      </c>
      <c r="H178" t="str">
        <f t="shared" si="4"/>
        <v>Jul-2026</v>
      </c>
      <c r="I178" s="2">
        <f t="shared" si="5"/>
        <v>-0.65999650999685522</v>
      </c>
    </row>
    <row r="179" spans="1:9" x14ac:dyDescent="0.25">
      <c r="A179" s="1">
        <v>46209</v>
      </c>
      <c r="B179">
        <v>58366.05</v>
      </c>
      <c r="C179">
        <v>59436.800000000003</v>
      </c>
      <c r="D179">
        <v>58121.599999999999</v>
      </c>
      <c r="E179">
        <v>59205.45</v>
      </c>
      <c r="F179">
        <v>388807148</v>
      </c>
      <c r="G179">
        <v>16894.89</v>
      </c>
      <c r="H179" t="str">
        <f t="shared" si="4"/>
        <v>Jul-2026</v>
      </c>
      <c r="I179" s="2">
        <f t="shared" si="5"/>
        <v>-1.2369638268098606</v>
      </c>
    </row>
    <row r="180" spans="1:9" x14ac:dyDescent="0.25">
      <c r="A180" s="1">
        <v>46210</v>
      </c>
      <c r="B180">
        <v>59305.15</v>
      </c>
      <c r="C180">
        <v>59400.15</v>
      </c>
      <c r="D180">
        <v>58346.25</v>
      </c>
      <c r="E180">
        <v>58473.1</v>
      </c>
      <c r="F180">
        <v>323378832</v>
      </c>
      <c r="G180">
        <v>10384.09</v>
      </c>
      <c r="H180" t="str">
        <f t="shared" si="4"/>
        <v>Jul-2026</v>
      </c>
      <c r="I180" s="2">
        <f t="shared" si="5"/>
        <v>1.2433067513095766</v>
      </c>
    </row>
    <row r="181" spans="1:9" x14ac:dyDescent="0.25">
      <c r="A181" s="1">
        <v>46211</v>
      </c>
      <c r="B181">
        <v>59194.25</v>
      </c>
      <c r="C181">
        <v>59573.1</v>
      </c>
      <c r="D181">
        <v>58823.05</v>
      </c>
      <c r="E181">
        <v>59200.1</v>
      </c>
      <c r="F181">
        <v>300681497</v>
      </c>
      <c r="G181">
        <v>11221.61</v>
      </c>
      <c r="H181" t="str">
        <f t="shared" si="4"/>
        <v>Jul-2026</v>
      </c>
      <c r="I181" s="2">
        <f t="shared" si="5"/>
        <v>-0.67533669706638277</v>
      </c>
    </row>
    <row r="182" spans="1:9" x14ac:dyDescent="0.25">
      <c r="A182" s="1">
        <v>46212</v>
      </c>
      <c r="B182">
        <v>59142</v>
      </c>
      <c r="C182">
        <v>59447.35</v>
      </c>
      <c r="D182">
        <v>58278.6</v>
      </c>
      <c r="E182">
        <v>58800.3</v>
      </c>
      <c r="F182">
        <v>331731071</v>
      </c>
      <c r="G182">
        <v>10751.29</v>
      </c>
      <c r="H182" t="str">
        <f t="shared" si="4"/>
        <v>Jul-2026</v>
      </c>
      <c r="I182" s="2">
        <f t="shared" si="5"/>
        <v>1.0270355763490902</v>
      </c>
    </row>
    <row r="183" spans="1:9" x14ac:dyDescent="0.25">
      <c r="A183" s="1">
        <v>46213</v>
      </c>
      <c r="B183">
        <v>59851.4</v>
      </c>
      <c r="C183">
        <v>59993.5</v>
      </c>
      <c r="D183">
        <v>59283.95</v>
      </c>
      <c r="E183">
        <v>59404.2</v>
      </c>
      <c r="F183">
        <v>396050764</v>
      </c>
      <c r="G183">
        <v>11324.6</v>
      </c>
      <c r="H183" t="str">
        <f t="shared" si="4"/>
        <v>Jul-2026</v>
      </c>
      <c r="I183" s="2">
        <f t="shared" si="5"/>
        <v>0.82005986108726558</v>
      </c>
    </row>
    <row r="184" spans="1:9" x14ac:dyDescent="0.25">
      <c r="A184" s="1">
        <v>46216</v>
      </c>
      <c r="B184">
        <v>60093.3</v>
      </c>
      <c r="C184">
        <v>60107.5</v>
      </c>
      <c r="D184">
        <v>59594.6</v>
      </c>
      <c r="E184">
        <v>59891.35</v>
      </c>
      <c r="F184">
        <v>492939689</v>
      </c>
      <c r="G184">
        <v>13834.09</v>
      </c>
      <c r="H184" t="str">
        <f t="shared" si="4"/>
        <v>Jul-2026</v>
      </c>
      <c r="I184" s="2">
        <f t="shared" si="5"/>
        <v>0.34028286221633497</v>
      </c>
    </row>
    <row r="185" spans="1:9" x14ac:dyDescent="0.25">
      <c r="A185" s="1">
        <v>46217</v>
      </c>
      <c r="B185">
        <v>59590.35</v>
      </c>
      <c r="C185">
        <v>60235.15</v>
      </c>
      <c r="D185">
        <v>59510.5</v>
      </c>
      <c r="E185">
        <v>60095.15</v>
      </c>
      <c r="F185">
        <v>478076895</v>
      </c>
      <c r="G185">
        <v>14036.92</v>
      </c>
      <c r="H185" t="str">
        <f t="shared" si="4"/>
        <v>Jul-2026</v>
      </c>
      <c r="I185" s="2">
        <f t="shared" si="5"/>
        <v>-0.85697431489895592</v>
      </c>
    </row>
    <row r="186" spans="1:9" x14ac:dyDescent="0.25">
      <c r="A186" s="1">
        <v>46218</v>
      </c>
      <c r="B186">
        <v>59330.35</v>
      </c>
      <c r="C186">
        <v>59796.65</v>
      </c>
      <c r="D186">
        <v>59324.2</v>
      </c>
      <c r="E186">
        <v>59580.15</v>
      </c>
      <c r="F186">
        <v>341456051</v>
      </c>
      <c r="G186">
        <v>12174.25</v>
      </c>
      <c r="H186" t="str">
        <f t="shared" si="4"/>
        <v>Jul-2026</v>
      </c>
      <c r="I186" s="2">
        <f t="shared" si="5"/>
        <v>-2.2658553226175913E-3</v>
      </c>
    </row>
    <row r="187" spans="1:9" x14ac:dyDescent="0.25">
      <c r="A187" s="1">
        <v>46219</v>
      </c>
      <c r="B187">
        <v>59767.55</v>
      </c>
      <c r="C187">
        <v>59767.55</v>
      </c>
      <c r="D187">
        <v>59312.05</v>
      </c>
      <c r="E187">
        <v>59578.8</v>
      </c>
      <c r="F187">
        <v>224165921</v>
      </c>
      <c r="G187">
        <v>9646.09</v>
      </c>
      <c r="H187" t="str">
        <f t="shared" si="4"/>
        <v>Jul-2026</v>
      </c>
      <c r="I187" s="2">
        <f t="shared" si="5"/>
        <v>-0.21534505562381739</v>
      </c>
    </row>
    <row r="188" spans="1:9" x14ac:dyDescent="0.25">
      <c r="A188" s="1">
        <v>46220</v>
      </c>
      <c r="B188">
        <v>59217.25</v>
      </c>
      <c r="C188">
        <v>59541.1</v>
      </c>
      <c r="D188">
        <v>58864.2</v>
      </c>
      <c r="E188">
        <v>59450.5</v>
      </c>
      <c r="F188">
        <v>262444337</v>
      </c>
      <c r="G188">
        <v>7760.26</v>
      </c>
      <c r="H188" t="str">
        <f t="shared" si="4"/>
        <v>Jul-2026</v>
      </c>
      <c r="I188" s="2">
        <f t="shared" si="5"/>
        <v>-0.33464815266481707</v>
      </c>
    </row>
    <row r="189" spans="1:9" x14ac:dyDescent="0.25">
      <c r="A189" s="1">
        <v>46223</v>
      </c>
      <c r="B189">
        <v>59558.15</v>
      </c>
      <c r="C189">
        <v>59739.65</v>
      </c>
      <c r="D189">
        <v>59154.2</v>
      </c>
      <c r="E189">
        <v>59251.55</v>
      </c>
      <c r="F189">
        <v>272495773</v>
      </c>
      <c r="G189">
        <v>9269.24</v>
      </c>
      <c r="H189" t="str">
        <f t="shared" si="4"/>
        <v>Jul-2026</v>
      </c>
      <c r="I189" s="2">
        <f t="shared" si="5"/>
        <v>0.73407362339043802</v>
      </c>
    </row>
    <row r="190" spans="1:9" x14ac:dyDescent="0.25">
      <c r="A190" s="1">
        <v>46224</v>
      </c>
      <c r="B190">
        <v>59893.15</v>
      </c>
      <c r="C190">
        <v>60112.85</v>
      </c>
      <c r="D190">
        <v>59564.800000000003</v>
      </c>
      <c r="E190">
        <v>59686.5</v>
      </c>
      <c r="F190">
        <v>312854042</v>
      </c>
      <c r="G190">
        <v>8251.14</v>
      </c>
      <c r="H190" t="str">
        <f t="shared" si="4"/>
        <v>Jul-2026</v>
      </c>
      <c r="I190" s="2">
        <f t="shared" si="5"/>
        <v>0.50991430222914491</v>
      </c>
    </row>
    <row r="191" spans="1:9" x14ac:dyDescent="0.25">
      <c r="A191" s="1">
        <v>46225</v>
      </c>
      <c r="B191">
        <v>60039.7</v>
      </c>
      <c r="C191">
        <v>60065.4</v>
      </c>
      <c r="D191">
        <v>59760.65</v>
      </c>
      <c r="E191">
        <v>59990.85</v>
      </c>
      <c r="F191">
        <v>376309588</v>
      </c>
      <c r="G191">
        <v>11478.35</v>
      </c>
      <c r="H191" t="str">
        <f t="shared" si="4"/>
        <v>Jul-2026</v>
      </c>
      <c r="I191" s="2">
        <f t="shared" si="5"/>
        <v>0.21261575723631673</v>
      </c>
    </row>
    <row r="192" spans="1:9" x14ac:dyDescent="0.25">
      <c r="A192" s="1">
        <v>46226</v>
      </c>
      <c r="B192">
        <v>59957.8</v>
      </c>
      <c r="C192">
        <v>60305</v>
      </c>
      <c r="D192">
        <v>59844.800000000003</v>
      </c>
      <c r="E192">
        <v>60118.400000000001</v>
      </c>
      <c r="F192">
        <v>295387172</v>
      </c>
      <c r="G192">
        <v>11182.59</v>
      </c>
      <c r="H192" t="str">
        <f t="shared" si="4"/>
        <v>Jul-2026</v>
      </c>
      <c r="I192" s="2">
        <f t="shared" si="5"/>
        <v>-0.12342311172620091</v>
      </c>
    </row>
    <row r="193" spans="1:9" x14ac:dyDescent="0.25">
      <c r="A193" s="1">
        <v>46227</v>
      </c>
      <c r="B193">
        <v>60360.4</v>
      </c>
      <c r="C193">
        <v>60437.35</v>
      </c>
      <c r="D193">
        <v>59859.8</v>
      </c>
      <c r="E193">
        <v>60044.2</v>
      </c>
      <c r="F193">
        <v>318529309</v>
      </c>
      <c r="G193">
        <v>8697.2199999999993</v>
      </c>
      <c r="H193" t="str">
        <f t="shared" si="4"/>
        <v>Jul-2026</v>
      </c>
      <c r="I193" s="2">
        <f t="shared" si="5"/>
        <v>0.17778569786923634</v>
      </c>
    </row>
    <row r="194" spans="1:9" x14ac:dyDescent="0.25">
      <c r="A194" s="1">
        <v>46230</v>
      </c>
      <c r="B194">
        <v>59757.4</v>
      </c>
      <c r="C194">
        <v>60203.75</v>
      </c>
      <c r="D194">
        <v>59738.25</v>
      </c>
      <c r="E194">
        <v>60150.95</v>
      </c>
      <c r="F194">
        <v>250440812</v>
      </c>
      <c r="G194">
        <v>6633.49</v>
      </c>
      <c r="H194" t="str">
        <f t="shared" si="4"/>
        <v>Jul-2026</v>
      </c>
      <c r="I194" s="2">
        <f t="shared" si="5"/>
        <v>-0.73049552833329179</v>
      </c>
    </row>
    <row r="195" spans="1:9" x14ac:dyDescent="0.25">
      <c r="A195" s="1">
        <v>46231</v>
      </c>
      <c r="B195">
        <v>59674.8</v>
      </c>
      <c r="C195">
        <v>59743.199999999997</v>
      </c>
      <c r="D195">
        <v>59569.65</v>
      </c>
      <c r="E195">
        <v>59711.55</v>
      </c>
      <c r="F195">
        <v>110131396</v>
      </c>
      <c r="G195">
        <v>3648.95</v>
      </c>
      <c r="H195" t="str">
        <f t="shared" ref="H195:H249" si="6">TEXT(A195,"mmm-yyyy")</f>
        <v>Jul-2026</v>
      </c>
      <c r="I195" s="2">
        <f t="shared" ref="I195:I248" si="7">((E196-E195)/E195)*100</f>
        <v>-0.21721090810740026</v>
      </c>
    </row>
    <row r="196" spans="1:9" x14ac:dyDescent="0.25">
      <c r="A196" s="1">
        <v>46232</v>
      </c>
      <c r="B196">
        <v>59194.6</v>
      </c>
      <c r="C196">
        <v>59766.2</v>
      </c>
      <c r="D196">
        <v>59187.1</v>
      </c>
      <c r="E196">
        <v>59581.85</v>
      </c>
      <c r="F196">
        <v>198772944</v>
      </c>
      <c r="G196">
        <v>5653.52</v>
      </c>
      <c r="H196" t="str">
        <f t="shared" si="6"/>
        <v>Jul-2026</v>
      </c>
      <c r="I196" s="2">
        <f t="shared" si="7"/>
        <v>-0.68913603723281258</v>
      </c>
    </row>
    <row r="197" spans="1:9" x14ac:dyDescent="0.25">
      <c r="A197" s="1">
        <v>46233</v>
      </c>
      <c r="B197">
        <v>58885.95</v>
      </c>
      <c r="C197">
        <v>59272.7</v>
      </c>
      <c r="D197">
        <v>58737.599999999999</v>
      </c>
      <c r="E197">
        <v>59171.25</v>
      </c>
      <c r="F197">
        <v>295715909</v>
      </c>
      <c r="G197">
        <v>13803.3</v>
      </c>
      <c r="H197" t="str">
        <f t="shared" si="6"/>
        <v>Jul-2026</v>
      </c>
      <c r="I197" s="2">
        <f t="shared" si="7"/>
        <v>-0.40374337199231292</v>
      </c>
    </row>
    <row r="198" spans="1:9" x14ac:dyDescent="0.25">
      <c r="A198" s="1">
        <v>46234</v>
      </c>
      <c r="B198">
        <v>59007.05</v>
      </c>
      <c r="C198">
        <v>59140.4</v>
      </c>
      <c r="D198">
        <v>58809.55</v>
      </c>
      <c r="E198">
        <v>58932.35</v>
      </c>
      <c r="F198">
        <v>106916404</v>
      </c>
      <c r="G198">
        <v>4496.3500000000004</v>
      </c>
      <c r="H198" t="str">
        <f t="shared" si="6"/>
        <v>Jul-2026</v>
      </c>
      <c r="I198" s="2">
        <f t="shared" si="7"/>
        <v>0.13405201048320659</v>
      </c>
    </row>
    <row r="199" spans="1:9" x14ac:dyDescent="0.25">
      <c r="A199" s="1">
        <v>46237</v>
      </c>
      <c r="B199">
        <v>59092.85</v>
      </c>
      <c r="C199">
        <v>59180.65</v>
      </c>
      <c r="D199">
        <v>58947.05</v>
      </c>
      <c r="E199">
        <v>59011.35</v>
      </c>
      <c r="F199">
        <v>72911531</v>
      </c>
      <c r="G199">
        <v>3167.65</v>
      </c>
      <c r="H199" t="str">
        <f t="shared" si="6"/>
        <v>Aug-2026</v>
      </c>
      <c r="I199" s="2">
        <f t="shared" si="7"/>
        <v>0.29189300024486814</v>
      </c>
    </row>
    <row r="200" spans="1:9" x14ac:dyDescent="0.25">
      <c r="A200" s="1">
        <v>46238</v>
      </c>
      <c r="B200">
        <v>59322.95</v>
      </c>
      <c r="C200">
        <v>59478.15</v>
      </c>
      <c r="D200">
        <v>59118.25</v>
      </c>
      <c r="E200">
        <v>59183.6</v>
      </c>
      <c r="F200">
        <v>82531128</v>
      </c>
      <c r="G200">
        <v>4757.08</v>
      </c>
      <c r="H200" t="str">
        <f t="shared" si="6"/>
        <v>Aug-2026</v>
      </c>
      <c r="I200" s="2">
        <f t="shared" si="7"/>
        <v>0.19591576044715825</v>
      </c>
    </row>
    <row r="201" spans="1:9" x14ac:dyDescent="0.25">
      <c r="A201" s="1">
        <v>46239</v>
      </c>
      <c r="B201">
        <v>59334.35</v>
      </c>
      <c r="C201">
        <v>59402.35</v>
      </c>
      <c r="D201">
        <v>59216.75</v>
      </c>
      <c r="E201">
        <v>59299.55</v>
      </c>
      <c r="F201">
        <v>91776313</v>
      </c>
      <c r="G201">
        <v>5263.89</v>
      </c>
      <c r="H201" t="str">
        <f t="shared" si="6"/>
        <v>Aug-2026</v>
      </c>
      <c r="I201" s="2">
        <f t="shared" si="7"/>
        <v>7.5042727980180112E-3</v>
      </c>
    </row>
    <row r="202" spans="1:9" x14ac:dyDescent="0.25">
      <c r="A202" s="1">
        <v>46240</v>
      </c>
      <c r="B202">
        <v>59224.75</v>
      </c>
      <c r="C202">
        <v>59371.199999999997</v>
      </c>
      <c r="D202">
        <v>59155.5</v>
      </c>
      <c r="E202">
        <v>59304</v>
      </c>
      <c r="F202">
        <v>114820013</v>
      </c>
      <c r="G202">
        <v>5343.13</v>
      </c>
      <c r="H202" t="str">
        <f t="shared" si="6"/>
        <v>Aug-2026</v>
      </c>
      <c r="I202" s="2">
        <f t="shared" si="7"/>
        <v>-0.39592607581276629</v>
      </c>
    </row>
    <row r="203" spans="1:9" x14ac:dyDescent="0.25">
      <c r="A203" s="1">
        <v>46241</v>
      </c>
      <c r="B203">
        <v>59047.4</v>
      </c>
      <c r="C203">
        <v>59140.55</v>
      </c>
      <c r="D203">
        <v>58897.5</v>
      </c>
      <c r="E203">
        <v>59069.2</v>
      </c>
      <c r="F203">
        <v>179050841</v>
      </c>
      <c r="G203">
        <v>8478.14</v>
      </c>
      <c r="H203" t="str">
        <f t="shared" si="6"/>
        <v>Aug-2026</v>
      </c>
      <c r="I203" s="2">
        <f t="shared" si="7"/>
        <v>-0.26468955056103444</v>
      </c>
    </row>
    <row r="204" spans="1:9" x14ac:dyDescent="0.25">
      <c r="A204" s="1">
        <v>46244</v>
      </c>
      <c r="B204">
        <v>58712.7</v>
      </c>
      <c r="C204">
        <v>59211</v>
      </c>
      <c r="D204">
        <v>58712.7</v>
      </c>
      <c r="E204">
        <v>58912.85</v>
      </c>
      <c r="F204">
        <v>97400429</v>
      </c>
      <c r="G204">
        <v>4817.54</v>
      </c>
      <c r="H204" t="str">
        <f t="shared" si="6"/>
        <v>Aug-2026</v>
      </c>
      <c r="I204" s="2">
        <f t="shared" si="7"/>
        <v>2.3594173427361698E-2</v>
      </c>
    </row>
    <row r="205" spans="1:9" x14ac:dyDescent="0.25">
      <c r="A205" s="1">
        <v>46245</v>
      </c>
      <c r="B205">
        <v>59072.800000000003</v>
      </c>
      <c r="C205">
        <v>59127.199999999997</v>
      </c>
      <c r="D205">
        <v>58801.4</v>
      </c>
      <c r="E205">
        <v>58926.75</v>
      </c>
      <c r="F205">
        <v>132704071</v>
      </c>
      <c r="G205">
        <v>6795.81</v>
      </c>
      <c r="H205" t="str">
        <f t="shared" si="6"/>
        <v>Aug-2026</v>
      </c>
      <c r="I205" s="2">
        <f t="shared" si="7"/>
        <v>0.18302383891865504</v>
      </c>
    </row>
    <row r="206" spans="1:9" x14ac:dyDescent="0.25">
      <c r="A206" s="1">
        <v>46246</v>
      </c>
      <c r="B206">
        <v>59288.75</v>
      </c>
      <c r="C206">
        <v>59335.25</v>
      </c>
      <c r="D206">
        <v>58966.35</v>
      </c>
      <c r="E206">
        <v>59034.6</v>
      </c>
      <c r="F206">
        <v>123339470</v>
      </c>
      <c r="G206">
        <v>7236.18</v>
      </c>
      <c r="H206" t="str">
        <f t="shared" si="6"/>
        <v>Aug-2026</v>
      </c>
      <c r="I206" s="2">
        <f t="shared" si="7"/>
        <v>0.72364342267078019</v>
      </c>
    </row>
    <row r="207" spans="1:9" x14ac:dyDescent="0.25">
      <c r="A207" s="1">
        <v>46247</v>
      </c>
      <c r="B207">
        <v>59053.7</v>
      </c>
      <c r="C207">
        <v>59533</v>
      </c>
      <c r="D207">
        <v>59044.65</v>
      </c>
      <c r="E207">
        <v>59461.8</v>
      </c>
      <c r="F207">
        <v>125225674</v>
      </c>
      <c r="G207">
        <v>4598.78</v>
      </c>
      <c r="H207" t="str">
        <f t="shared" si="6"/>
        <v>Aug-2026</v>
      </c>
      <c r="I207" s="2">
        <f t="shared" si="7"/>
        <v>-0.12083387990273725</v>
      </c>
    </row>
    <row r="208" spans="1:9" x14ac:dyDescent="0.25">
      <c r="A208" s="1">
        <v>46248</v>
      </c>
      <c r="B208">
        <v>59401.5</v>
      </c>
      <c r="C208">
        <v>59545.7</v>
      </c>
      <c r="D208">
        <v>59224.85</v>
      </c>
      <c r="E208">
        <v>59389.95</v>
      </c>
      <c r="F208">
        <v>107708486</v>
      </c>
      <c r="G208">
        <v>4737.26</v>
      </c>
      <c r="H208" t="str">
        <f t="shared" si="6"/>
        <v>Aug-2026</v>
      </c>
      <c r="I208" s="2">
        <f t="shared" si="7"/>
        <v>-0.30324996064148657</v>
      </c>
    </row>
    <row r="209" spans="1:9" x14ac:dyDescent="0.25">
      <c r="A209" s="1">
        <v>46251</v>
      </c>
      <c r="B209">
        <v>58966.2</v>
      </c>
      <c r="C209">
        <v>59423.35</v>
      </c>
      <c r="D209">
        <v>58799.9</v>
      </c>
      <c r="E209">
        <v>59209.85</v>
      </c>
      <c r="F209">
        <v>96941328</v>
      </c>
      <c r="G209">
        <v>5351.23</v>
      </c>
      <c r="H209" t="str">
        <f t="shared" si="6"/>
        <v>Aug-2026</v>
      </c>
      <c r="I209" s="2">
        <f t="shared" si="7"/>
        <v>-0.42129814549436811</v>
      </c>
    </row>
    <row r="210" spans="1:9" x14ac:dyDescent="0.25">
      <c r="A210" s="1">
        <v>46252</v>
      </c>
      <c r="B210">
        <v>59281.55</v>
      </c>
      <c r="C210">
        <v>59440.9</v>
      </c>
      <c r="D210">
        <v>58853.9</v>
      </c>
      <c r="E210">
        <v>58960.4</v>
      </c>
      <c r="F210">
        <v>105165395</v>
      </c>
      <c r="G210">
        <v>6092.67</v>
      </c>
      <c r="H210" t="str">
        <f t="shared" si="6"/>
        <v>Aug-2026</v>
      </c>
      <c r="I210" s="2">
        <f t="shared" si="7"/>
        <v>0.44428124639588112</v>
      </c>
    </row>
    <row r="211" spans="1:9" x14ac:dyDescent="0.25">
      <c r="A211" s="1">
        <v>46253</v>
      </c>
      <c r="B211">
        <v>58918.85</v>
      </c>
      <c r="C211">
        <v>59358.25</v>
      </c>
      <c r="D211">
        <v>58878.45</v>
      </c>
      <c r="E211">
        <v>59222.35</v>
      </c>
      <c r="F211">
        <v>137801477</v>
      </c>
      <c r="G211">
        <v>6893.1</v>
      </c>
      <c r="H211" t="str">
        <f t="shared" si="6"/>
        <v>Aug-2026</v>
      </c>
      <c r="I211" s="2">
        <f t="shared" si="7"/>
        <v>2.7354537602787402E-2</v>
      </c>
    </row>
    <row r="212" spans="1:9" x14ac:dyDescent="0.25">
      <c r="A212" s="1">
        <v>46254</v>
      </c>
      <c r="B212">
        <v>59672.05</v>
      </c>
      <c r="C212">
        <v>59713.15</v>
      </c>
      <c r="D212">
        <v>59030.6</v>
      </c>
      <c r="E212">
        <v>59238.55</v>
      </c>
      <c r="F212">
        <v>131203623</v>
      </c>
      <c r="G212">
        <v>6335.61</v>
      </c>
      <c r="H212" t="str">
        <f t="shared" si="6"/>
        <v>Aug-2026</v>
      </c>
      <c r="I212" s="2">
        <f t="shared" si="7"/>
        <v>0.90928964331502737</v>
      </c>
    </row>
    <row r="213" spans="1:9" x14ac:dyDescent="0.25">
      <c r="A213" s="1">
        <v>46255</v>
      </c>
      <c r="B213">
        <v>59133.2</v>
      </c>
      <c r="C213">
        <v>59806.6</v>
      </c>
      <c r="D213">
        <v>59106.55</v>
      </c>
      <c r="E213">
        <v>59777.2</v>
      </c>
      <c r="F213">
        <v>119481620</v>
      </c>
      <c r="G213">
        <v>5949.78</v>
      </c>
      <c r="H213" t="str">
        <f t="shared" si="6"/>
        <v>Aug-2026</v>
      </c>
      <c r="I213" s="2">
        <f t="shared" si="7"/>
        <v>-0.81720120714921418</v>
      </c>
    </row>
    <row r="214" spans="1:9" x14ac:dyDescent="0.25">
      <c r="A214" s="1">
        <v>46258</v>
      </c>
      <c r="B214">
        <v>59287.1</v>
      </c>
      <c r="C214">
        <v>59548.7</v>
      </c>
      <c r="D214">
        <v>59062.15</v>
      </c>
      <c r="E214">
        <v>59288.7</v>
      </c>
      <c r="F214">
        <v>109589024</v>
      </c>
      <c r="G214">
        <v>6142.41</v>
      </c>
      <c r="H214" t="str">
        <f t="shared" si="6"/>
        <v>Aug-2026</v>
      </c>
      <c r="I214" s="2">
        <f t="shared" si="7"/>
        <v>0.10044072479241897</v>
      </c>
    </row>
    <row r="215" spans="1:9" x14ac:dyDescent="0.25">
      <c r="A215" s="1">
        <v>46259</v>
      </c>
      <c r="B215">
        <v>59158.7</v>
      </c>
      <c r="C215">
        <v>59414.9</v>
      </c>
      <c r="D215">
        <v>58925.7</v>
      </c>
      <c r="E215">
        <v>59348.25</v>
      </c>
      <c r="F215">
        <v>166403478</v>
      </c>
      <c r="G215">
        <v>7160.87</v>
      </c>
      <c r="H215" t="str">
        <f t="shared" si="6"/>
        <v>Aug-2026</v>
      </c>
      <c r="I215" s="2">
        <f t="shared" si="7"/>
        <v>-0.12544599040409293</v>
      </c>
    </row>
    <row r="216" spans="1:9" x14ac:dyDescent="0.25">
      <c r="A216" s="1">
        <v>46260</v>
      </c>
      <c r="B216">
        <v>59354.2</v>
      </c>
      <c r="C216">
        <v>59656.55</v>
      </c>
      <c r="D216">
        <v>59251.95</v>
      </c>
      <c r="E216">
        <v>59273.8</v>
      </c>
      <c r="F216">
        <v>207110345</v>
      </c>
      <c r="G216">
        <v>10056.56</v>
      </c>
      <c r="H216" t="str">
        <f t="shared" si="6"/>
        <v>Aug-2026</v>
      </c>
      <c r="I216" s="2">
        <f t="shared" si="7"/>
        <v>0.68757191204207535</v>
      </c>
    </row>
    <row r="217" spans="1:9" x14ac:dyDescent="0.25">
      <c r="A217" s="1">
        <v>46261</v>
      </c>
      <c r="B217">
        <v>60102.05</v>
      </c>
      <c r="C217">
        <v>60114.3</v>
      </c>
      <c r="D217">
        <v>59527.6</v>
      </c>
      <c r="E217">
        <v>59681.35</v>
      </c>
      <c r="F217">
        <v>122326469</v>
      </c>
      <c r="G217">
        <v>6594.81</v>
      </c>
      <c r="H217" t="str">
        <f t="shared" si="6"/>
        <v>Aug-2026</v>
      </c>
      <c r="I217" s="2">
        <f t="shared" si="7"/>
        <v>0.11955158521045277</v>
      </c>
    </row>
    <row r="218" spans="1:9" x14ac:dyDescent="0.25">
      <c r="A218" s="1">
        <v>46262</v>
      </c>
      <c r="B218">
        <v>59758.7</v>
      </c>
      <c r="C218">
        <v>59897.5</v>
      </c>
      <c r="D218">
        <v>59598.95</v>
      </c>
      <c r="E218">
        <v>59752.7</v>
      </c>
      <c r="F218">
        <v>100023044</v>
      </c>
      <c r="G218">
        <v>5839.54</v>
      </c>
      <c r="H218" t="str">
        <f t="shared" si="6"/>
        <v>Aug-2026</v>
      </c>
      <c r="I218" s="2">
        <f t="shared" si="7"/>
        <v>-2.5772893944531677E-2</v>
      </c>
    </row>
    <row r="219" spans="1:9" x14ac:dyDescent="0.25">
      <c r="A219" s="1">
        <v>46265</v>
      </c>
      <c r="B219">
        <v>59605.3</v>
      </c>
      <c r="C219">
        <v>59866.6</v>
      </c>
      <c r="D219">
        <v>59523</v>
      </c>
      <c r="E219">
        <v>59737.3</v>
      </c>
      <c r="F219">
        <v>137809670</v>
      </c>
      <c r="G219">
        <v>8782.7000000000007</v>
      </c>
      <c r="H219" t="str">
        <f t="shared" si="6"/>
        <v>Aug-2026</v>
      </c>
      <c r="I219" s="2">
        <f t="shared" si="7"/>
        <v>-0.35028365861865202</v>
      </c>
    </row>
    <row r="220" spans="1:9" x14ac:dyDescent="0.25">
      <c r="A220" s="1">
        <v>46266</v>
      </c>
      <c r="B220">
        <v>58783.05</v>
      </c>
      <c r="C220">
        <v>59554.95</v>
      </c>
      <c r="D220">
        <v>58783.05</v>
      </c>
      <c r="E220">
        <v>59528.05</v>
      </c>
      <c r="F220">
        <v>140180988</v>
      </c>
      <c r="G220">
        <v>7695.58</v>
      </c>
      <c r="H220" t="str">
        <f t="shared" si="6"/>
        <v>Sep-2026</v>
      </c>
      <c r="I220" s="2">
        <f t="shared" si="7"/>
        <v>-1.1889353002492102</v>
      </c>
    </row>
    <row r="221" spans="1:9" x14ac:dyDescent="0.25">
      <c r="A221" s="1">
        <v>46267</v>
      </c>
      <c r="B221">
        <v>58925.65</v>
      </c>
      <c r="C221">
        <v>59166.15</v>
      </c>
      <c r="D221">
        <v>58746.2</v>
      </c>
      <c r="E221">
        <v>58820.3</v>
      </c>
      <c r="F221">
        <v>137380135</v>
      </c>
      <c r="G221">
        <v>8120.31</v>
      </c>
      <c r="H221" t="str">
        <f t="shared" si="6"/>
        <v>Sep-2026</v>
      </c>
      <c r="I221" s="2">
        <f t="shared" si="7"/>
        <v>2.558640469361026E-2</v>
      </c>
    </row>
    <row r="222" spans="1:9" x14ac:dyDescent="0.25">
      <c r="A222" s="1">
        <v>46268</v>
      </c>
      <c r="B222">
        <v>58996.9</v>
      </c>
      <c r="C222">
        <v>59309.9</v>
      </c>
      <c r="D222">
        <v>58649.5</v>
      </c>
      <c r="E222">
        <v>58835.35</v>
      </c>
      <c r="F222">
        <v>190388710</v>
      </c>
      <c r="G222">
        <v>11105.72</v>
      </c>
      <c r="H222" t="str">
        <f t="shared" si="6"/>
        <v>Sep-2026</v>
      </c>
      <c r="I222" s="2">
        <f t="shared" si="7"/>
        <v>5.4983950975049094E-2</v>
      </c>
    </row>
    <row r="223" spans="1:9" x14ac:dyDescent="0.25">
      <c r="A223" s="1">
        <v>46269</v>
      </c>
      <c r="B223">
        <v>59116.7</v>
      </c>
      <c r="C223">
        <v>59232.15</v>
      </c>
      <c r="D223">
        <v>58823.65</v>
      </c>
      <c r="E223">
        <v>58867.7</v>
      </c>
      <c r="F223">
        <v>121382744</v>
      </c>
      <c r="G223">
        <v>8057.86</v>
      </c>
      <c r="H223" t="str">
        <f t="shared" si="6"/>
        <v>Sep-2026</v>
      </c>
      <c r="I223" s="2">
        <f t="shared" si="7"/>
        <v>0.81538772535702952</v>
      </c>
    </row>
    <row r="224" spans="1:9" x14ac:dyDescent="0.25">
      <c r="A224" s="1">
        <v>46272</v>
      </c>
      <c r="B224">
        <v>59308.2</v>
      </c>
      <c r="C224">
        <v>59440.1</v>
      </c>
      <c r="D224">
        <v>59125.25</v>
      </c>
      <c r="E224">
        <v>59347.7</v>
      </c>
      <c r="F224">
        <v>120021307</v>
      </c>
      <c r="G224">
        <v>7609.52</v>
      </c>
      <c r="H224" t="str">
        <f t="shared" si="6"/>
        <v>Sep-2026</v>
      </c>
      <c r="I224" s="2">
        <f t="shared" si="7"/>
        <v>-0.22182831011141826</v>
      </c>
    </row>
    <row r="225" spans="1:9" x14ac:dyDescent="0.25">
      <c r="A225" s="1">
        <v>46273</v>
      </c>
      <c r="B225">
        <v>58908.15</v>
      </c>
      <c r="C225">
        <v>59264.25</v>
      </c>
      <c r="D225">
        <v>58688.55</v>
      </c>
      <c r="E225">
        <v>59216.05</v>
      </c>
      <c r="F225">
        <v>149831471</v>
      </c>
      <c r="G225">
        <v>7295.78</v>
      </c>
      <c r="H225" t="str">
        <f t="shared" si="6"/>
        <v>Sep-2026</v>
      </c>
      <c r="I225" s="2">
        <f t="shared" si="7"/>
        <v>-0.53499009136881459</v>
      </c>
    </row>
    <row r="226" spans="1:9" x14ac:dyDescent="0.25">
      <c r="A226" s="1">
        <v>46274</v>
      </c>
      <c r="B226">
        <v>58990.5</v>
      </c>
      <c r="C226">
        <v>59103.65</v>
      </c>
      <c r="D226">
        <v>58798.9</v>
      </c>
      <c r="E226">
        <v>58899.25</v>
      </c>
      <c r="F226">
        <v>145542247</v>
      </c>
      <c r="G226">
        <v>7631.35</v>
      </c>
      <c r="H226" t="str">
        <f t="shared" si="6"/>
        <v>Sep-2026</v>
      </c>
      <c r="I226" s="2">
        <f t="shared" si="7"/>
        <v>0.10772632928262599</v>
      </c>
    </row>
    <row r="227" spans="1:9" x14ac:dyDescent="0.25">
      <c r="A227" s="1">
        <v>46275</v>
      </c>
      <c r="B227">
        <v>58696.3</v>
      </c>
      <c r="C227">
        <v>59001.55</v>
      </c>
      <c r="D227">
        <v>58605.3</v>
      </c>
      <c r="E227">
        <v>58962.7</v>
      </c>
      <c r="F227">
        <v>157460315</v>
      </c>
      <c r="G227">
        <v>7287.68</v>
      </c>
      <c r="H227" t="str">
        <f t="shared" si="6"/>
        <v>Sep-2026</v>
      </c>
      <c r="I227" s="2">
        <f t="shared" si="7"/>
        <v>-0.75496881927047821</v>
      </c>
    </row>
    <row r="228" spans="1:9" x14ac:dyDescent="0.25">
      <c r="A228" s="1">
        <v>46276</v>
      </c>
      <c r="B228">
        <v>58050</v>
      </c>
      <c r="C228">
        <v>58590.15</v>
      </c>
      <c r="D228">
        <v>58050</v>
      </c>
      <c r="E228">
        <v>58517.55</v>
      </c>
      <c r="F228">
        <v>114807987</v>
      </c>
      <c r="G228">
        <v>7021.35</v>
      </c>
      <c r="H228" t="str">
        <f t="shared" si="6"/>
        <v>Sep-2026</v>
      </c>
      <c r="I228" s="2">
        <f t="shared" si="7"/>
        <v>-0.23172535418862517</v>
      </c>
    </row>
    <row r="229" spans="1:9" x14ac:dyDescent="0.25">
      <c r="A229" s="1">
        <v>46280</v>
      </c>
      <c r="B229">
        <v>58158.75</v>
      </c>
      <c r="C229">
        <v>58615.95</v>
      </c>
      <c r="D229">
        <v>58127.1</v>
      </c>
      <c r="E229">
        <v>58381.95</v>
      </c>
      <c r="F229">
        <v>121244767</v>
      </c>
      <c r="G229">
        <v>7470.55</v>
      </c>
      <c r="H229" t="str">
        <f t="shared" si="6"/>
        <v>Sep-2026</v>
      </c>
      <c r="I229" s="2">
        <f t="shared" si="7"/>
        <v>-0.18378968157109454</v>
      </c>
    </row>
    <row r="230" spans="1:9" x14ac:dyDescent="0.25">
      <c r="A230" s="1">
        <v>46281</v>
      </c>
      <c r="B230">
        <v>58505.35</v>
      </c>
      <c r="C230">
        <v>58507.7</v>
      </c>
      <c r="D230">
        <v>58171.85</v>
      </c>
      <c r="E230">
        <v>58274.65</v>
      </c>
      <c r="F230">
        <v>149265514</v>
      </c>
      <c r="G230">
        <v>7073.06</v>
      </c>
      <c r="H230" t="str">
        <f t="shared" si="6"/>
        <v>Sep-2026</v>
      </c>
      <c r="I230" s="2">
        <f t="shared" si="7"/>
        <v>-0.23423564105490122</v>
      </c>
    </row>
    <row r="231" spans="1:9" x14ac:dyDescent="0.25">
      <c r="A231" s="1">
        <v>46282</v>
      </c>
      <c r="B231">
        <v>57962.3</v>
      </c>
      <c r="C231">
        <v>58187.35</v>
      </c>
      <c r="D231">
        <v>57594.25</v>
      </c>
      <c r="E231">
        <v>58138.15</v>
      </c>
      <c r="F231">
        <v>119589571</v>
      </c>
      <c r="G231">
        <v>5909.76</v>
      </c>
      <c r="H231" t="str">
        <f t="shared" si="6"/>
        <v>Sep-2026</v>
      </c>
      <c r="I231" s="2">
        <f t="shared" si="7"/>
        <v>-0.34504021885801067</v>
      </c>
    </row>
    <row r="232" spans="1:9" x14ac:dyDescent="0.25">
      <c r="A232" s="1">
        <v>46283</v>
      </c>
      <c r="B232">
        <v>57846.2</v>
      </c>
      <c r="C232">
        <v>58097.2</v>
      </c>
      <c r="D232">
        <v>57846.2</v>
      </c>
      <c r="E232">
        <v>57937.55</v>
      </c>
      <c r="F232">
        <v>123385793</v>
      </c>
      <c r="G232">
        <v>5940.6</v>
      </c>
      <c r="H232" t="str">
        <f t="shared" si="6"/>
        <v>Sep-2026</v>
      </c>
      <c r="I232" s="2">
        <f t="shared" si="7"/>
        <v>-0.10485427844290965</v>
      </c>
    </row>
    <row r="233" spans="1:9" x14ac:dyDescent="0.25">
      <c r="A233" s="1">
        <v>46286</v>
      </c>
      <c r="B233">
        <v>57391.4</v>
      </c>
      <c r="C233">
        <v>58001.35</v>
      </c>
      <c r="D233">
        <v>57157.85</v>
      </c>
      <c r="E233">
        <v>57876.800000000003</v>
      </c>
      <c r="F233">
        <v>142423718</v>
      </c>
      <c r="G233">
        <v>6208.77</v>
      </c>
      <c r="H233" t="str">
        <f t="shared" si="6"/>
        <v>Sep-2026</v>
      </c>
      <c r="I233" s="2">
        <f t="shared" si="7"/>
        <v>-0.55730448124292098</v>
      </c>
    </row>
    <row r="234" spans="1:9" x14ac:dyDescent="0.25">
      <c r="A234" s="1">
        <v>46287</v>
      </c>
      <c r="B234">
        <v>57714.8</v>
      </c>
      <c r="C234">
        <v>57945.05</v>
      </c>
      <c r="D234">
        <v>57521</v>
      </c>
      <c r="E234">
        <v>57554.25</v>
      </c>
      <c r="F234">
        <v>170428684</v>
      </c>
      <c r="G234">
        <v>10257.32</v>
      </c>
      <c r="H234" t="str">
        <f t="shared" si="6"/>
        <v>Sep-2026</v>
      </c>
      <c r="I234" s="2">
        <f t="shared" si="7"/>
        <v>0.47398758562574078</v>
      </c>
    </row>
    <row r="235" spans="1:9" x14ac:dyDescent="0.25">
      <c r="A235" s="1">
        <v>46288</v>
      </c>
      <c r="B235">
        <v>57966.65</v>
      </c>
      <c r="C235">
        <v>58119.65</v>
      </c>
      <c r="D235">
        <v>57732.95</v>
      </c>
      <c r="E235">
        <v>57827.05</v>
      </c>
      <c r="F235">
        <v>168559617</v>
      </c>
      <c r="G235">
        <v>8624.42</v>
      </c>
      <c r="H235" t="str">
        <f t="shared" si="6"/>
        <v>Sep-2026</v>
      </c>
      <c r="I235" s="2">
        <f t="shared" si="7"/>
        <v>0.4745184130955914</v>
      </c>
    </row>
    <row r="236" spans="1:9" x14ac:dyDescent="0.25">
      <c r="A236" s="1">
        <v>46289</v>
      </c>
      <c r="B236">
        <v>57726.85</v>
      </c>
      <c r="C236">
        <v>58247.55</v>
      </c>
      <c r="D236">
        <v>57718.400000000001</v>
      </c>
      <c r="E236">
        <v>58101.45</v>
      </c>
      <c r="F236">
        <v>204665357</v>
      </c>
      <c r="G236">
        <v>8247.6</v>
      </c>
      <c r="H236" t="str">
        <f t="shared" si="6"/>
        <v>Sep-2026</v>
      </c>
      <c r="I236" s="2">
        <f t="shared" si="7"/>
        <v>-0.55953853131031761</v>
      </c>
    </row>
    <row r="237" spans="1:9" x14ac:dyDescent="0.25">
      <c r="A237" s="1">
        <v>46290</v>
      </c>
      <c r="B237">
        <v>57942.45</v>
      </c>
      <c r="C237">
        <v>58254.95</v>
      </c>
      <c r="D237">
        <v>57656.95</v>
      </c>
      <c r="E237">
        <v>57776.35</v>
      </c>
      <c r="F237">
        <v>307922255</v>
      </c>
      <c r="G237">
        <v>10392.19</v>
      </c>
      <c r="H237" t="str">
        <f t="shared" si="6"/>
        <v>Sep-2026</v>
      </c>
      <c r="I237" s="2">
        <f t="shared" si="7"/>
        <v>0.44092435745767949</v>
      </c>
    </row>
    <row r="238" spans="1:9" x14ac:dyDescent="0.25">
      <c r="A238" s="1">
        <v>46293</v>
      </c>
      <c r="B238">
        <v>58152.05</v>
      </c>
      <c r="C238">
        <v>58331.199999999997</v>
      </c>
      <c r="D238">
        <v>57999.199999999997</v>
      </c>
      <c r="E238">
        <v>58031.1</v>
      </c>
      <c r="F238">
        <v>222993699</v>
      </c>
      <c r="G238">
        <v>8385.9599999999991</v>
      </c>
      <c r="H238" t="str">
        <f t="shared" si="6"/>
        <v>Sep-2026</v>
      </c>
      <c r="I238" s="2">
        <f t="shared" si="7"/>
        <v>0.61027621396113718</v>
      </c>
    </row>
    <row r="239" spans="1:9" x14ac:dyDescent="0.25">
      <c r="A239" s="1">
        <v>46294</v>
      </c>
      <c r="B239">
        <v>58316.25</v>
      </c>
      <c r="C239">
        <v>58469.9</v>
      </c>
      <c r="D239">
        <v>58087.05</v>
      </c>
      <c r="E239">
        <v>58385.25</v>
      </c>
      <c r="F239">
        <v>151847243</v>
      </c>
      <c r="G239">
        <v>7845.76</v>
      </c>
      <c r="H239" t="str">
        <f t="shared" si="6"/>
        <v>Sep-2026</v>
      </c>
      <c r="I239" s="2">
        <f t="shared" si="7"/>
        <v>-0.2931391061954885</v>
      </c>
    </row>
    <row r="240" spans="1:9" x14ac:dyDescent="0.25">
      <c r="A240" s="1">
        <v>46295</v>
      </c>
      <c r="B240">
        <v>58006.55</v>
      </c>
      <c r="C240">
        <v>58313.8</v>
      </c>
      <c r="D240">
        <v>57770.35</v>
      </c>
      <c r="E240">
        <v>58214.1</v>
      </c>
      <c r="F240">
        <v>256079447</v>
      </c>
      <c r="G240">
        <v>14036.42</v>
      </c>
      <c r="H240" t="str">
        <f t="shared" si="6"/>
        <v>Sep-2026</v>
      </c>
      <c r="I240" s="2">
        <f t="shared" si="7"/>
        <v>-0.17152201957944649</v>
      </c>
    </row>
    <row r="241" spans="1:9" x14ac:dyDescent="0.25">
      <c r="A241" s="1">
        <v>46296</v>
      </c>
      <c r="B241">
        <v>57796.45</v>
      </c>
      <c r="C241">
        <v>58224.55</v>
      </c>
      <c r="D241">
        <v>57652.75</v>
      </c>
      <c r="E241">
        <v>58114.25</v>
      </c>
      <c r="F241">
        <v>153027019</v>
      </c>
      <c r="G241">
        <v>7555.3</v>
      </c>
      <c r="H241" t="str">
        <f t="shared" si="6"/>
        <v>Oct-2026</v>
      </c>
      <c r="I241" s="2">
        <f t="shared" si="7"/>
        <v>-0.71350830476174343</v>
      </c>
    </row>
    <row r="242" spans="1:9" x14ac:dyDescent="0.25">
      <c r="A242" s="1">
        <v>46300</v>
      </c>
      <c r="B242">
        <v>58172.75</v>
      </c>
      <c r="C242">
        <v>58232.9</v>
      </c>
      <c r="D242">
        <v>57482.05</v>
      </c>
      <c r="E242">
        <v>57699.6</v>
      </c>
      <c r="F242">
        <v>132081008</v>
      </c>
      <c r="G242">
        <v>6654.57</v>
      </c>
      <c r="H242" t="str">
        <f t="shared" si="6"/>
        <v>Oct-2026</v>
      </c>
      <c r="I242" s="2">
        <f t="shared" si="7"/>
        <v>0.65589709460724921</v>
      </c>
    </row>
    <row r="243" spans="1:9" x14ac:dyDescent="0.25">
      <c r="A243" s="1">
        <v>46301</v>
      </c>
      <c r="B243">
        <v>58314.55</v>
      </c>
      <c r="C243">
        <v>58577.5</v>
      </c>
      <c r="D243">
        <v>57951.45</v>
      </c>
      <c r="E243">
        <v>58078.05</v>
      </c>
      <c r="F243">
        <v>291556210</v>
      </c>
      <c r="G243">
        <v>14314.53</v>
      </c>
      <c r="H243" t="str">
        <f t="shared" si="6"/>
        <v>Oct-2026</v>
      </c>
      <c r="I243" s="2">
        <f t="shared" si="7"/>
        <v>-0.12199101037311999</v>
      </c>
    </row>
    <row r="244" spans="1:9" x14ac:dyDescent="0.25">
      <c r="A244" s="1">
        <v>46302</v>
      </c>
      <c r="B244">
        <v>58063.4</v>
      </c>
      <c r="C244">
        <v>58155.55</v>
      </c>
      <c r="D244">
        <v>57887.199999999997</v>
      </c>
      <c r="E244">
        <v>58007.199999999997</v>
      </c>
      <c r="F244">
        <v>38968242</v>
      </c>
      <c r="G244">
        <v>1679.12</v>
      </c>
      <c r="H244" t="str">
        <f t="shared" si="6"/>
        <v>Oct-2026</v>
      </c>
      <c r="I244" s="2">
        <f t="shared" si="7"/>
        <v>4.4822022093809047E-2</v>
      </c>
    </row>
    <row r="245" spans="1:9" x14ac:dyDescent="0.25">
      <c r="A245" s="1">
        <v>46303</v>
      </c>
      <c r="B245">
        <v>57872.85</v>
      </c>
      <c r="C245">
        <v>58261.55</v>
      </c>
      <c r="D245">
        <v>57872.85</v>
      </c>
      <c r="E245">
        <v>58033.2</v>
      </c>
      <c r="F245">
        <v>341715407</v>
      </c>
      <c r="G245">
        <v>14041.65</v>
      </c>
      <c r="H245" t="str">
        <f t="shared" si="6"/>
        <v>Oct-2026</v>
      </c>
      <c r="I245" s="2">
        <f t="shared" si="7"/>
        <v>-0.55115003136135621</v>
      </c>
    </row>
    <row r="246" spans="1:9" x14ac:dyDescent="0.25">
      <c r="A246" s="1">
        <v>46304</v>
      </c>
      <c r="B246">
        <v>57362.9</v>
      </c>
      <c r="C246">
        <v>57830.2</v>
      </c>
      <c r="D246">
        <v>57238.65</v>
      </c>
      <c r="E246">
        <v>57713.35</v>
      </c>
      <c r="F246">
        <v>147161418</v>
      </c>
      <c r="G246">
        <v>8960.74</v>
      </c>
      <c r="H246" t="str">
        <f t="shared" si="6"/>
        <v>Oct-2026</v>
      </c>
      <c r="I246" s="2">
        <f t="shared" si="7"/>
        <v>-0.50386955531085209</v>
      </c>
    </row>
    <row r="247" spans="1:9" x14ac:dyDescent="0.25">
      <c r="A247" s="1">
        <v>46307</v>
      </c>
      <c r="B247">
        <v>57139.95</v>
      </c>
      <c r="C247">
        <v>57525.8</v>
      </c>
      <c r="D247">
        <v>56994.7</v>
      </c>
      <c r="E247">
        <v>57422.55</v>
      </c>
      <c r="F247">
        <v>148601313</v>
      </c>
      <c r="G247">
        <v>9667.33</v>
      </c>
      <c r="H247" t="str">
        <f t="shared" si="6"/>
        <v>Oct-2026</v>
      </c>
      <c r="I247" s="2">
        <f t="shared" si="7"/>
        <v>-1.084330110731762</v>
      </c>
    </row>
    <row r="248" spans="1:9" x14ac:dyDescent="0.25">
      <c r="A248" s="1">
        <v>46308</v>
      </c>
      <c r="B248">
        <v>56528.95</v>
      </c>
      <c r="C248">
        <v>56922.7</v>
      </c>
      <c r="D248">
        <v>56491.85</v>
      </c>
      <c r="E248">
        <v>56799.9</v>
      </c>
      <c r="F248">
        <v>123701247</v>
      </c>
      <c r="G248">
        <v>6914.83</v>
      </c>
      <c r="H248" t="str">
        <f t="shared" si="6"/>
        <v>Oct-2026</v>
      </c>
      <c r="I248" s="2">
        <f t="shared" si="7"/>
        <v>-0.53424389831673003</v>
      </c>
    </row>
    <row r="249" spans="1:9" x14ac:dyDescent="0.25">
      <c r="A249" s="1">
        <v>46309</v>
      </c>
      <c r="B249">
        <v>56598.65</v>
      </c>
      <c r="C249">
        <v>56721.3</v>
      </c>
      <c r="D249">
        <v>56230.15</v>
      </c>
      <c r="E249">
        <v>56496.45</v>
      </c>
      <c r="F249">
        <v>129845019</v>
      </c>
      <c r="G249">
        <v>6690.65</v>
      </c>
      <c r="H249" t="str">
        <f t="shared" si="6"/>
        <v>Oct-2026</v>
      </c>
      <c r="I249" s="2"/>
    </row>
  </sheetData>
  <sortState xmlns:xlrd2="http://schemas.microsoft.com/office/spreadsheetml/2017/richdata2" ref="A2:A249">
    <sortCondition ref="A2:A2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AEA3-E454-4FFE-8A45-871DC86AB8E8}">
  <dimension ref="A1:C14"/>
  <sheetViews>
    <sheetView workbookViewId="0">
      <selection activeCell="C2" sqref="C2"/>
    </sheetView>
  </sheetViews>
  <sheetFormatPr defaultRowHeight="15" x14ac:dyDescent="0.25"/>
  <cols>
    <col min="1" max="3" width="22.140625" customWidth="1"/>
  </cols>
  <sheetData>
    <row r="1" spans="1:3" x14ac:dyDescent="0.25">
      <c r="A1" t="s">
        <v>7</v>
      </c>
      <c r="B1" t="s">
        <v>9</v>
      </c>
      <c r="C1" t="s">
        <v>10</v>
      </c>
    </row>
    <row r="2" spans="1:3" x14ac:dyDescent="0.25">
      <c r="A2" s="3">
        <v>45931</v>
      </c>
      <c r="B2">
        <v>2.0862816999999999E-2</v>
      </c>
      <c r="C2">
        <v>2.035462484</v>
      </c>
    </row>
    <row r="3" spans="1:3" x14ac:dyDescent="0.25">
      <c r="A3" s="3">
        <v>45962</v>
      </c>
      <c r="B3">
        <v>0.19612690099999999</v>
      </c>
      <c r="C3">
        <v>2.0029401949999999</v>
      </c>
    </row>
    <row r="4" spans="1:3" x14ac:dyDescent="0.25">
      <c r="A4" s="3">
        <v>45992</v>
      </c>
      <c r="B4">
        <v>-5.8469090000000001E-2</v>
      </c>
      <c r="C4">
        <v>0.588441506</v>
      </c>
    </row>
    <row r="5" spans="1:3" x14ac:dyDescent="0.25">
      <c r="A5" s="3">
        <v>46023</v>
      </c>
      <c r="B5">
        <v>7.3612048999999999E-2</v>
      </c>
      <c r="C5">
        <v>2.569674284</v>
      </c>
    </row>
    <row r="6" spans="1:3" x14ac:dyDescent="0.25">
      <c r="A6" s="3">
        <v>46054</v>
      </c>
      <c r="B6">
        <v>-0.27622629599999998</v>
      </c>
      <c r="C6">
        <v>1.3147965989999999</v>
      </c>
    </row>
    <row r="7" spans="1:3" x14ac:dyDescent="0.25">
      <c r="A7" s="3">
        <v>46082</v>
      </c>
      <c r="B7">
        <v>6.6676253000000005E-2</v>
      </c>
      <c r="C7">
        <v>1.6519404280000001</v>
      </c>
    </row>
    <row r="8" spans="1:3" x14ac:dyDescent="0.25">
      <c r="A8" s="3">
        <v>46113</v>
      </c>
      <c r="B8">
        <v>-0.42258722599999998</v>
      </c>
      <c r="C8">
        <v>1.6092167879999999</v>
      </c>
    </row>
    <row r="9" spans="1:3" x14ac:dyDescent="0.25">
      <c r="A9" s="3">
        <v>46143</v>
      </c>
      <c r="B9">
        <v>1.0020908070000001</v>
      </c>
      <c r="C9">
        <v>3.9766008589999999</v>
      </c>
    </row>
    <row r="10" spans="1:3" x14ac:dyDescent="0.25">
      <c r="A10" s="3">
        <v>46174</v>
      </c>
      <c r="B10">
        <v>-6.8631011000000006E-2</v>
      </c>
      <c r="C10">
        <v>2.0426347030000001</v>
      </c>
    </row>
    <row r="11" spans="1:3" x14ac:dyDescent="0.25">
      <c r="A11" s="3">
        <v>46204</v>
      </c>
      <c r="B11">
        <v>-4.1846372E-2</v>
      </c>
      <c r="C11">
        <v>1.243306751</v>
      </c>
    </row>
    <row r="12" spans="1:3" x14ac:dyDescent="0.25">
      <c r="A12" s="3">
        <v>46235</v>
      </c>
      <c r="B12">
        <v>4.2350606999999998E-2</v>
      </c>
      <c r="C12">
        <v>0.90928964300000004</v>
      </c>
    </row>
    <row r="13" spans="1:3" x14ac:dyDescent="0.25">
      <c r="A13" s="3">
        <v>46266</v>
      </c>
      <c r="B13">
        <v>-0.113260993</v>
      </c>
      <c r="C13">
        <v>0.81538772500000001</v>
      </c>
    </row>
    <row r="14" spans="1:3" x14ac:dyDescent="0.25">
      <c r="A14" s="3">
        <v>46296</v>
      </c>
      <c r="B14">
        <v>-0.35104672399999998</v>
      </c>
      <c r="C14">
        <v>0.65589709500000004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BankNifty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Hanmant Gidde</dc:creator>
  <cp:lastModifiedBy>919309721978</cp:lastModifiedBy>
  <dcterms:created xsi:type="dcterms:W3CDTF">2026-10-15T03:54:31Z</dcterms:created>
  <dcterms:modified xsi:type="dcterms:W3CDTF">2026-10-15T05:16:06Z</dcterms:modified>
</cp:coreProperties>
</file>